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name="01_작성안내" sheetId="1" state="visible" r:id="rId1"/>
    <sheet name="06_분류코드" sheetId="2" state="visible" r:id="rId2"/>
    <sheet name="02_업무일지양식" sheetId="3" state="visible" r:id="rId3"/>
    <sheet name="03_통합데이터" sheetId="4" state="visible" r:id="rId4"/>
    <sheet name="04_중복업무분석" sheetId="5" state="visible" r:id="rId5"/>
    <sheet name="05_통합기회도출" sheetId="6" state="visible" r:id="rId6"/>
  </sheets>
  <definedNames>
    <definedName name="_xlnm._FilterDatabase" localSheetId="2" hidden="1">'02_업무일지양식'!$A$6:$Q$107</definedName>
    <definedName name="_xlnm._FilterDatabase" localSheetId="3" hidden="1">'03_통합데이터'!$A$2:$T$1002</definedName>
    <definedName name="_xlnm._FilterDatabase" localSheetId="4" hidden="1">'04_중복업무분석'!$A$6:$K$58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42">
    <font>
      <name val="Calibri"/>
      <charset val="1"/>
      <family val="2"/>
      <color theme="1"/>
      <sz val="11"/>
    </font>
    <font>
      <name val="Noto Sans CJK SC"/>
      <family val="2"/>
      <b val="1"/>
      <color rgb="FF1F3864"/>
      <sz val="16"/>
    </font>
    <font>
      <name val="맑은 고딕"/>
      <charset val="129"/>
      <family val="3"/>
      <b val="1"/>
      <color rgb="FF1F3864"/>
      <sz val="16"/>
    </font>
    <font>
      <name val="Noto Sans CJK SC"/>
      <family val="2"/>
      <b val="1"/>
      <color rgb="FF2E5C8A"/>
      <sz val="11"/>
    </font>
    <font>
      <name val="Noto Sans CJK SC"/>
      <family val="2"/>
      <color rgb="FF0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2E5C8A"/>
      <sz val="11"/>
    </font>
    <font>
      <name val="Noto Sans CJK SC"/>
      <family val="2"/>
      <b val="1"/>
      <color rgb="FFFFFFFF"/>
      <sz val="14"/>
    </font>
    <font>
      <name val="맑은 고딕"/>
      <charset val="129"/>
      <family val="3"/>
      <b val="1"/>
      <color rgb="FFFFFFFF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FF"/>
      <sz val="10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FF"/>
      <sz val="10"/>
    </font>
    <font>
      <name val="Noto Sans CJK SC"/>
      <family val="2"/>
      <color rgb="FFC00000"/>
      <sz val="9"/>
    </font>
    <font>
      <name val="맑은 고딕"/>
      <charset val="129"/>
      <family val="3"/>
      <color rgb="FFC00000"/>
      <sz val="9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595959"/>
      <sz val="9"/>
    </font>
    <font>
      <name val="Noto Sans CJK SC"/>
      <family val="2"/>
      <b val="1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sz val="10"/>
    </font>
    <font>
      <name val="Noto Sans CJK SC"/>
      <family val="2"/>
      <b val="1"/>
      <color rgb="FF1F3864"/>
      <sz val="10"/>
    </font>
    <font>
      <name val="Noto Sans CJK SC"/>
      <family val="2"/>
      <b val="1"/>
      <color rgb="FFFFFFFF"/>
      <sz val="12"/>
    </font>
    <font>
      <name val="맑은 고딕"/>
      <charset val="129"/>
      <family val="3"/>
      <b val="1"/>
      <color rgb="FFFFFFFF"/>
      <sz val="12"/>
    </font>
    <font>
      <name val="Noto Sans CJK SC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1F3864"/>
      <sz val="11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Noto Sans CJK SC"/>
      <family val="2"/>
      <sz val="9"/>
    </font>
    <font>
      <name val="Noto Sans CJK SC"/>
      <family val="2"/>
      <b val="1"/>
      <color rgb="FF1F3864"/>
      <sz val="12"/>
    </font>
    <font>
      <name val="맑은 고딕"/>
      <charset val="129"/>
      <family val="3"/>
      <b val="1"/>
      <color rgb="FF1F3864"/>
      <sz val="12"/>
    </font>
    <font>
      <name val="돋움"/>
      <charset val="129"/>
      <family val="3"/>
      <sz val="8"/>
    </font>
    <font>
      <name val="Arial"/>
      <family val="2"/>
      <b val="1"/>
      <color rgb="FF000000"/>
      <sz val="10"/>
    </font>
    <font>
      <name val="Noto Sans CJK SC"/>
      <charset val="129"/>
      <family val="3"/>
      <b val="1"/>
      <color rgb="FF000000"/>
      <sz val="10"/>
    </font>
    <font>
      <name val="맑은 고딕"/>
      <charset val="129"/>
      <family val="3"/>
      <color theme="1"/>
      <sz val="9"/>
    </font>
    <font>
      <name val="Noto Sans CJK SC"/>
      <family val="2"/>
      <color theme="1"/>
      <sz val="9"/>
    </font>
    <font>
      <name val="맑은 고딕"/>
      <b val="1"/>
      <sz val="10"/>
    </font>
    <font>
      <name val="맑은 고딕"/>
      <b val="1"/>
      <sz val="9"/>
    </font>
    <font>
      <name val="맑은 고딕"/>
      <sz val="9"/>
    </font>
    <font>
      <name val="Noto Sans CJK SC"/>
      <color rgb="FF1F4E79"/>
      <sz val="9"/>
    </font>
  </fonts>
  <fills count="4">
    <fill>
      <patternFill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4" tint="0.7999816888943144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 wrapText="1"/>
    </xf>
    <xf numFmtId="0" fontId="21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9" fillId="0" borderId="1" applyAlignment="1" pivotButton="0" quotePrefix="0" xfId="0">
      <alignment horizontal="left" vertical="center"/>
    </xf>
    <xf numFmtId="0" fontId="30" fillId="0" borderId="1" applyAlignment="1" pivotButton="0" quotePrefix="0" xfId="0">
      <alignment horizontal="left" vertical="center"/>
    </xf>
    <xf numFmtId="0" fontId="19" fillId="0" borderId="1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35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/>
    </xf>
    <xf numFmtId="0" fontId="37" fillId="3" borderId="1" applyAlignment="1" pivotButton="0" quotePrefix="0" xfId="0">
      <alignment horizontal="center" vertical="center"/>
    </xf>
    <xf numFmtId="0" fontId="36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7" fillId="0" borderId="1" applyAlignment="1" pivotButton="0" quotePrefix="0" xfId="0">
      <alignment vertical="center"/>
    </xf>
    <xf numFmtId="0" fontId="36" fillId="0" borderId="1" applyAlignment="1" pivotButton="0" quotePrefix="0" xfId="0">
      <alignment vertical="center"/>
    </xf>
    <xf numFmtId="0" fontId="36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0" fillId="2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22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27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38" fillId="0" borderId="0" pivotButton="0" quotePrefix="0" xfId="0"/>
    <xf numFmtId="0" fontId="39" fillId="0" borderId="0" pivotButton="0" quotePrefix="0" xfId="0"/>
    <xf numFmtId="0" fontId="40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 wrapText="1"/>
    </xf>
    <xf numFmtId="0" fontId="0" fillId="0" borderId="5" pivotButton="0" quotePrefix="0" xfId="0"/>
    <xf numFmtId="164" fontId="12" fillId="0" borderId="1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 wrapText="1"/>
    </xf>
    <xf numFmtId="164" fontId="36" fillId="3" borderId="1" applyAlignment="1" pivotButton="0" quotePrefix="0" xfId="0">
      <alignment horizontal="center" vertical="center"/>
    </xf>
    <xf numFmtId="165" fontId="36" fillId="3" borderId="1" applyAlignment="1" pivotButton="0" quotePrefix="0" xfId="0">
      <alignment horizontal="center" vertical="center"/>
    </xf>
    <xf numFmtId="164" fontId="17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0" fontId="0" fillId="0" borderId="6" pivotButton="0" quotePrefix="0" xfId="0"/>
    <xf numFmtId="164" fontId="36" fillId="0" borderId="1" applyAlignment="1" pivotButton="0" quotePrefix="0" xfId="0">
      <alignment vertical="center"/>
    </xf>
    <xf numFmtId="165" fontId="36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165" fontId="19" fillId="0" borderId="1" applyAlignment="1" pivotButton="0" quotePrefix="0" xfId="0">
      <alignment vertical="center"/>
    </xf>
  </cellXfs>
  <cellStyles count="1">
    <cellStyle name="표준" xfId="0" builtinId="0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H37"/>
  <sheetViews>
    <sheetView showGridLines="0" zoomScaleNormal="100" workbookViewId="0">
      <selection activeCell="J7" sqref="J7"/>
    </sheetView>
  </sheetViews>
  <sheetFormatPr baseColWidth="8" defaultColWidth="8.7109375" defaultRowHeight="15"/>
  <cols>
    <col width="34" customWidth="1" min="1" max="1"/>
    <col width="14" customWidth="1" min="2" max="8"/>
  </cols>
  <sheetData>
    <row r="1" ht="27.75" customHeight="1">
      <c r="A1" s="30" t="inlineStr">
        <is>
          <t>커머스 본부 주간 일간업무일지 (업무 통합 · 중복 진단용)</t>
        </is>
      </c>
    </row>
    <row r="3" ht="21.75" customHeight="1">
      <c r="A3" s="38" t="inlineStr">
        <is>
          <t>■ 작성 목적</t>
        </is>
      </c>
    </row>
    <row r="4">
      <c r="B4" s="29" t="inlineStr">
        <is>
          <t>현재 커머스 본부는 [미디어커머스 / 브랜드커머스 / 해외제조] 3개 조직으로 분리 운영 중입니다.</t>
        </is>
      </c>
    </row>
    <row r="5">
      <c r="B5" s="28" t="inlineStr">
        <is>
          <t>3개 조직이 실제로 어떤 업무를 얼마나 하고 있는지 시간대별로 기록하여,</t>
        </is>
      </c>
    </row>
    <row r="6">
      <c r="B6" s="29" t="inlineStr">
        <is>
          <t>① 팀 간 중복 수행 업무를 찾아내고 ② 통합 대상 업무와 단일 창구를 설계하는 것이 목적입니다.</t>
        </is>
      </c>
    </row>
    <row r="7">
      <c r="B7" s="29" t="inlineStr">
        <is>
          <t>※ 개인 성과평가 목적이 아닙니다. 있는 그대로 솔직하게 기록해야 통합 설계가 정확해집니다.</t>
        </is>
      </c>
    </row>
    <row r="9" ht="21.75" customHeight="1">
      <c r="A9" s="38" t="inlineStr">
        <is>
          <t>■ 작성 대상 / 기간</t>
        </is>
      </c>
    </row>
    <row r="10">
      <c r="B10" s="29" t="inlineStr">
        <is>
          <t>대상: 커머스 본부 3개 팀 전 구성원 (팀장 포함)</t>
        </is>
      </c>
    </row>
    <row r="11">
      <c r="B11" s="29" t="inlineStr">
        <is>
          <t>기간: 1주일(월~금) / 매일 퇴근 전 당일분 작성 권장 (몰아쓰면 정확도가 급격히 떨어집니다)</t>
        </is>
      </c>
    </row>
    <row r="13" ht="21.75" customHeight="1">
      <c r="A13" s="38" t="inlineStr">
        <is>
          <t>■ 시트 구성 및 사용 순서</t>
        </is>
      </c>
    </row>
    <row r="14">
      <c r="B14" s="28" t="inlineStr">
        <is>
          <t>① 02_업무일지양식  → 개인이 작성. 30분 단위 시간대가 미리 채워져 있습니다. 사본을 만들어 1인 1개 사용.</t>
        </is>
      </c>
    </row>
    <row r="15">
      <c r="B15" s="28" t="inlineStr">
        <is>
          <t>② 03_통합데이터    → 취합 담당자가 전원의 작성분을 이 시트에 '값 붙여넣기'로 모읍니다.</t>
        </is>
      </c>
    </row>
    <row r="16">
      <c r="B16" s="28" t="inlineStr">
        <is>
          <t>③ 04_중복업무분석  → 자동 계산. 어떤 업무를 몇 개 팀이 중복 수행하는지 자동으로 나옵니다.</t>
        </is>
      </c>
    </row>
    <row r="17">
      <c r="B17" s="28" t="inlineStr">
        <is>
          <t>④ 05_통합기회도출  → 분석 결과를 보고 통합 방안을 수기로 정리합니다.</t>
        </is>
      </c>
    </row>
    <row r="18">
      <c r="B18" s="28" t="inlineStr">
        <is>
          <t>⑤ 06_분류코드      → 드롭다운 원본. 우리 조직에 없는 업무는 지우고, 빠진 업무는 추가하세요.</t>
        </is>
      </c>
    </row>
    <row r="20" ht="21.75" customHeight="1">
      <c r="A20" s="38" t="inlineStr">
        <is>
          <t>■ 작성 6원칙 (이대로 써야 분석이 됩니다)</t>
        </is>
      </c>
    </row>
    <row r="21">
      <c r="B21" s="28" t="inlineStr">
        <is>
          <t>1) 30분 단위로 빠짐없이 채운다. 비는 시간이 없도록 하되, 한 슬롯에 여러 업무가 섞이면 대표 업무 1개를 적는다.</t>
        </is>
      </c>
    </row>
    <row r="22">
      <c r="B22" s="28" t="inlineStr">
        <is>
          <t>2) 업무 중분류는 반드시 드롭다운에서 고른다. 자유 입력하면 중복 집계가 되지 않는다.</t>
        </is>
      </c>
    </row>
    <row r="23">
      <c r="B23" s="28" t="inlineStr">
        <is>
          <t>3) '업무내용'은 동사로 구체적으로. (X) 광고 관리  →  (O) A브랜드 메타 광고 소재 3개 교체 및 예산 재배분</t>
        </is>
      </c>
    </row>
    <row r="24">
      <c r="B24" s="28" t="inlineStr">
        <is>
          <t>4) '협업 대상'을 반드시 적는다. 같은 거래처·같은 MD·같은 대행사를 여러 팀이 각자 접촉하는 것이 대표적 중복이다.</t>
        </is>
      </c>
    </row>
    <row r="25">
      <c r="B25" s="28" t="inlineStr">
        <is>
          <t>5) '사용 시스템·툴'을 적는다. 같은 일을 서로 다른 툴로 하는 것도 통합 대상이다.</t>
        </is>
      </c>
    </row>
    <row r="26">
      <c r="B26" s="28" t="inlineStr">
        <is>
          <t>6) '타팀 중복예상' 칸에 본인의 감(感)을 남긴다. 데이터로 안 잡히는 중복을 잡아내는 단서가 된다.</t>
        </is>
      </c>
    </row>
    <row r="28" ht="21.75" customHeight="1">
      <c r="A28" s="38" t="inlineStr">
        <is>
          <t>■ 분석 결과 읽는 법 (04 시트)</t>
        </is>
      </c>
    </row>
    <row r="29">
      <c r="B29" s="28" t="inlineStr">
        <is>
          <t>· 수행팀수 3 → 3개 팀이 모두 하는 업무. 통합 1순위 (단일 창구화 또는 전담 배치)</t>
        </is>
      </c>
    </row>
    <row r="30">
      <c r="B30" s="28" t="inlineStr">
        <is>
          <t>· 수행팀수 2 → 2개 팀 중복. 통합 2순위 (역할 경계 재정의)</t>
        </is>
      </c>
    </row>
    <row r="31">
      <c r="B31" s="28" t="inlineStr">
        <is>
          <t>· 통합우선순위점수 = 수행팀수 × 총 소요시간(h). 점수가 높을수록 통합 효과가 큼</t>
        </is>
      </c>
    </row>
    <row r="32">
      <c r="B32" s="28" t="inlineStr">
        <is>
          <t>· 같은 중분류라도 '협업 대상'과 '대상 브랜드'가 다르면 실제로는 중복이 아닐 수 있으므로 05 시트에서 반드시 검증</t>
        </is>
      </c>
    </row>
    <row r="34" ht="21.75" customHeight="1">
      <c r="A34" s="38" t="inlineStr">
        <is>
          <t>■ 전제 / 가정</t>
        </is>
      </c>
    </row>
    <row r="35">
      <c r="B35" s="28" t="inlineStr">
        <is>
          <t>· 기본 근무시간을 09:00~18:00, 30분 단위로 가정했습니다. 조직 운영시간이 다르면 02 시트의 시간 열을 수정하세요.</t>
        </is>
      </c>
    </row>
    <row r="36">
      <c r="B36" s="28" t="inlineStr">
        <is>
          <t>· 일자는 02 시트 B3 셀(기준 주 월요일)을 입력하면 자동 계산됩니다.</t>
        </is>
      </c>
    </row>
    <row r="37">
      <c r="B37" s="28" t="inlineStr">
        <is>
          <t>· 노란색 셀 = 직접 입력, 흰색 셀 = 드롭다운 선택, 회색 셀 = 수식(수정 금지)</t>
        </is>
      </c>
    </row>
  </sheetData>
  <mergeCells count="25">
    <mergeCell ref="B6:H6"/>
    <mergeCell ref="B24:H24"/>
    <mergeCell ref="B30:H30"/>
    <mergeCell ref="B15:H15"/>
    <mergeCell ref="A1:H1"/>
    <mergeCell ref="B5:H5"/>
    <mergeCell ref="B36:H36"/>
    <mergeCell ref="B32:H32"/>
    <mergeCell ref="B26:H26"/>
    <mergeCell ref="B35:H35"/>
    <mergeCell ref="B4:H4"/>
    <mergeCell ref="B16:H16"/>
    <mergeCell ref="B7:H7"/>
    <mergeCell ref="B25:H25"/>
    <mergeCell ref="B31:H31"/>
    <mergeCell ref="B22:H22"/>
    <mergeCell ref="B18:H18"/>
    <mergeCell ref="B21:H21"/>
    <mergeCell ref="B11:H11"/>
    <mergeCell ref="B23:H23"/>
    <mergeCell ref="B14:H14"/>
    <mergeCell ref="B17:H17"/>
    <mergeCell ref="B29:H29"/>
    <mergeCell ref="B10:H10"/>
    <mergeCell ref="B37:H3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L76"/>
  <sheetViews>
    <sheetView tabSelected="1" zoomScaleNormal="100" workbookViewId="0">
      <selection activeCell="M2" sqref="M2"/>
    </sheetView>
  </sheetViews>
  <sheetFormatPr baseColWidth="8" defaultColWidth="8.7109375" defaultRowHeight="15"/>
  <cols>
    <col width="18" customWidth="1" min="1" max="1"/>
    <col width="40" customWidth="1" min="2" max="2"/>
    <col width="2" customWidth="1" min="3" max="3"/>
    <col width="16" customWidth="1" min="4" max="4"/>
    <col width="2" customWidth="1" min="5" max="5"/>
    <col width="14" customWidth="1" min="6" max="6"/>
    <col width="2" customWidth="1" min="7" max="7"/>
    <col width="20" customWidth="1" min="8" max="8"/>
    <col width="2" customWidth="1" min="9" max="9"/>
    <col width="20" customWidth="1" min="10" max="10"/>
    <col width="2" customWidth="1" min="11" max="11"/>
    <col width="18" customWidth="1" min="12" max="12"/>
  </cols>
  <sheetData>
    <row r="1" ht="17.25" customHeight="1">
      <c r="A1" s="15" t="inlineStr">
        <is>
          <t>업무 분류 코드 마스터 (드롭다운 원본 - 수정 시 전 시트에 반영됨)</t>
        </is>
      </c>
    </row>
    <row r="3">
      <c r="A3" s="18" t="inlineStr">
        <is>
          <t>업무 대분류</t>
        </is>
      </c>
      <c r="B3" s="18" t="inlineStr">
        <is>
          <t>업무 중분류 (코드)</t>
        </is>
      </c>
      <c r="C3" s="27" t="n"/>
      <c r="D3" s="18" t="inlineStr">
        <is>
          <t>소속팀</t>
        </is>
      </c>
      <c r="E3" s="27" t="n"/>
      <c r="F3" s="18" t="inlineStr">
        <is>
          <t>반복주기</t>
        </is>
      </c>
      <c r="G3" s="27" t="n"/>
      <c r="H3" s="18" t="inlineStr">
        <is>
          <t>업무 성격</t>
        </is>
      </c>
      <c r="I3" s="27" t="n"/>
      <c r="J3" s="18" t="inlineStr">
        <is>
          <t>타팀 중복 예상</t>
        </is>
      </c>
      <c r="K3" s="27" t="n"/>
      <c r="L3" s="18" t="inlineStr">
        <is>
          <t>대분류 목록</t>
        </is>
      </c>
    </row>
    <row r="4">
      <c r="A4" s="11" t="inlineStr">
        <is>
          <t>상품기획·소싱</t>
        </is>
      </c>
      <c r="B4" s="12" t="inlineStr">
        <is>
          <t>PLN-01 신상품 아이템 발굴/시장조사</t>
        </is>
      </c>
      <c r="D4" s="11" t="inlineStr">
        <is>
          <t>미디어커머스</t>
        </is>
      </c>
      <c r="F4" s="11" t="inlineStr">
        <is>
          <t>매일</t>
        </is>
      </c>
      <c r="H4" s="11" t="inlineStr">
        <is>
          <t>정형(매뉴얼화 가능)</t>
        </is>
      </c>
      <c r="J4" s="11" t="inlineStr">
        <is>
          <t>예 - 확실히 중복</t>
        </is>
      </c>
      <c r="L4" s="11" t="inlineStr">
        <is>
          <t>상품기획·소싱</t>
        </is>
      </c>
    </row>
    <row r="5">
      <c r="A5" s="11" t="inlineStr">
        <is>
          <t>상품기획·소싱</t>
        </is>
      </c>
      <c r="B5" s="12" t="inlineStr">
        <is>
          <t>PLN-02 경쟁사·트렌드 분석</t>
        </is>
      </c>
      <c r="D5" s="11" t="inlineStr">
        <is>
          <t>브랜드커머스</t>
        </is>
      </c>
      <c r="F5" s="11" t="inlineStr">
        <is>
          <t>주 2~3회</t>
        </is>
      </c>
      <c r="H5" s="11" t="inlineStr">
        <is>
          <t>반정형</t>
        </is>
      </c>
      <c r="J5" s="11" t="inlineStr">
        <is>
          <t>아마도 중복</t>
        </is>
      </c>
      <c r="L5" s="11" t="inlineStr">
        <is>
          <t>제조·생산관리</t>
        </is>
      </c>
    </row>
    <row r="6">
      <c r="A6" s="11" t="inlineStr">
        <is>
          <t>상품기획·소싱</t>
        </is>
      </c>
      <c r="B6" s="12" t="inlineStr">
        <is>
          <t>PLN-03 원가·판가(마진) 설계</t>
        </is>
      </c>
      <c r="D6" s="11" t="inlineStr">
        <is>
          <t>해외제조</t>
        </is>
      </c>
      <c r="F6" s="11" t="inlineStr">
        <is>
          <t>주 1회</t>
        </is>
      </c>
      <c r="H6" s="11" t="inlineStr">
        <is>
          <t>비정형(판단 필요)</t>
        </is>
      </c>
      <c r="J6" s="11" t="inlineStr">
        <is>
          <t>아니오 - 우리팀 고유</t>
        </is>
      </c>
      <c r="L6" s="11" t="inlineStr">
        <is>
          <t>마케팅·광고운영</t>
        </is>
      </c>
    </row>
    <row r="7">
      <c r="A7" s="11" t="inlineStr">
        <is>
          <t>상품기획·소싱</t>
        </is>
      </c>
      <c r="B7" s="12" t="inlineStr">
        <is>
          <t>PLN-04 공급처(벤더) 발굴·컨택</t>
        </is>
      </c>
      <c r="F7" s="11" t="inlineStr">
        <is>
          <t>격주</t>
        </is>
      </c>
      <c r="J7" s="11" t="inlineStr">
        <is>
          <t>모름</t>
        </is>
      </c>
      <c r="L7" s="11" t="inlineStr">
        <is>
          <t>콘텐츠제작</t>
        </is>
      </c>
    </row>
    <row r="8">
      <c r="A8" s="11" t="inlineStr">
        <is>
          <t>상품기획·소싱</t>
        </is>
      </c>
      <c r="B8" s="12" t="inlineStr">
        <is>
          <t>PLN-05 샘플 요청·검토</t>
        </is>
      </c>
      <c r="F8" s="11" t="inlineStr">
        <is>
          <t>월 1회</t>
        </is>
      </c>
      <c r="L8" s="11" t="inlineStr">
        <is>
          <t>채널·스토어운영</t>
        </is>
      </c>
    </row>
    <row r="9">
      <c r="A9" s="11" t="inlineStr">
        <is>
          <t>상품기획·소싱</t>
        </is>
      </c>
      <c r="B9" s="12" t="inlineStr">
        <is>
          <t>PLN-06 상품 스펙·사양 확정</t>
        </is>
      </c>
      <c r="F9" s="11" t="inlineStr">
        <is>
          <t>분기/비정기</t>
        </is>
      </c>
      <c r="L9" s="11" t="inlineStr">
        <is>
          <t>CS·물류·재고</t>
        </is>
      </c>
    </row>
    <row r="10">
      <c r="A10" s="11" t="inlineStr">
        <is>
          <t>제조·생산관리</t>
        </is>
      </c>
      <c r="B10" s="12" t="inlineStr">
        <is>
          <t>MFG-01 해외공장/거래처 커뮤니케이션</t>
        </is>
      </c>
      <c r="F10" s="12" t="inlineStr">
        <is>
          <t>1회성</t>
        </is>
      </c>
      <c r="L10" s="11" t="inlineStr">
        <is>
          <t>데이터·정산</t>
        </is>
      </c>
    </row>
    <row r="11">
      <c r="A11" s="11" t="inlineStr">
        <is>
          <t>제조·생산관리</t>
        </is>
      </c>
      <c r="B11" s="12" t="inlineStr">
        <is>
          <t>MFG-02 발주(PO) 작성·전송</t>
        </is>
      </c>
      <c r="L11" s="11" t="inlineStr">
        <is>
          <t>기획·보고·회의</t>
        </is>
      </c>
    </row>
    <row r="12">
      <c r="A12" s="11" t="inlineStr">
        <is>
          <t>제조·생산관리</t>
        </is>
      </c>
      <c r="B12" s="12" t="inlineStr">
        <is>
          <t>MFG-03 생산일정 관리·납기 독촉</t>
        </is>
      </c>
      <c r="L12" s="11" t="inlineStr">
        <is>
          <t>사내시스템·자동화</t>
        </is>
      </c>
    </row>
    <row r="13">
      <c r="A13" s="11" t="inlineStr">
        <is>
          <t>제조·생산관리</t>
        </is>
      </c>
      <c r="B13" s="12" t="inlineStr">
        <is>
          <t>MFG-04 품질검사(QC)·불량 대응</t>
        </is>
      </c>
      <c r="L13" s="11" t="inlineStr">
        <is>
          <t>파트너·대리점관리</t>
        </is>
      </c>
    </row>
    <row r="14">
      <c r="A14" s="11" t="inlineStr">
        <is>
          <t>제조·생산관리</t>
        </is>
      </c>
      <c r="B14" s="12" t="inlineStr">
        <is>
          <t>MFG-05 수입통관·인증(KC 등) 처리</t>
        </is>
      </c>
      <c r="L14" s="11" t="inlineStr">
        <is>
          <t>기타·행정</t>
        </is>
      </c>
    </row>
    <row r="15">
      <c r="A15" s="11" t="inlineStr">
        <is>
          <t>제조·생산관리</t>
        </is>
      </c>
      <c r="B15" s="12" t="inlineStr">
        <is>
          <t>MFG-06 선적·입고 일정 관리</t>
        </is>
      </c>
    </row>
    <row r="16">
      <c r="A16" s="11" t="inlineStr">
        <is>
          <t>제조·생산관리</t>
        </is>
      </c>
      <c r="B16" s="12" t="inlineStr">
        <is>
          <t>MFG-07 단가 협상·계약</t>
        </is>
      </c>
    </row>
    <row r="17">
      <c r="A17" s="11" t="inlineStr">
        <is>
          <t>제조·생산관리</t>
        </is>
      </c>
      <c r="B17" s="12" t="inlineStr">
        <is>
          <t>MFG-08 MSDS·라벨 등 제품 표시사항 제작</t>
        </is>
      </c>
    </row>
    <row r="18">
      <c r="A18" s="11" t="inlineStr">
        <is>
          <t>마케팅·광고운영</t>
        </is>
      </c>
      <c r="B18" s="12" t="inlineStr">
        <is>
          <t>MKT-01 광고 계정 세팅·집행(메타/구글 등)</t>
        </is>
      </c>
    </row>
    <row r="19">
      <c r="A19" s="11" t="inlineStr">
        <is>
          <t>마케팅·광고운영</t>
        </is>
      </c>
      <c r="B19" s="12" t="inlineStr">
        <is>
          <t>MKT-02 광고 성과 모니터링·최적화</t>
        </is>
      </c>
    </row>
    <row r="20">
      <c r="A20" s="11" t="inlineStr">
        <is>
          <t>마케팅·광고운영</t>
        </is>
      </c>
      <c r="B20" s="12" t="inlineStr">
        <is>
          <t>MKT-03 광고 소재 기획·시안 검토</t>
        </is>
      </c>
    </row>
    <row r="21">
      <c r="A21" s="11" t="inlineStr">
        <is>
          <t>마케팅·광고운영</t>
        </is>
      </c>
      <c r="B21" s="12" t="inlineStr">
        <is>
          <t>MKT-04 인플루언서·체험단 섭외/관리</t>
        </is>
      </c>
    </row>
    <row r="22">
      <c r="A22" s="11" t="inlineStr">
        <is>
          <t>마케팅·광고운영</t>
        </is>
      </c>
      <c r="B22" s="12" t="inlineStr">
        <is>
          <t>MKT-05 프로모션·기획전 기획</t>
        </is>
      </c>
    </row>
    <row r="23">
      <c r="A23" s="11" t="inlineStr">
        <is>
          <t>마케팅·광고운영</t>
        </is>
      </c>
      <c r="B23" s="12" t="inlineStr">
        <is>
          <t>MKT-06 CRM(문자/알림톡/메일) 발송</t>
        </is>
      </c>
    </row>
    <row r="24">
      <c r="A24" s="11" t="inlineStr">
        <is>
          <t>마케팅·광고운영</t>
        </is>
      </c>
      <c r="B24" s="12" t="inlineStr">
        <is>
          <t>MKT-07 대행사 커뮤니케이션·관리</t>
        </is>
      </c>
    </row>
    <row r="25">
      <c r="A25" s="11" t="inlineStr">
        <is>
          <t>마케팅·광고운영</t>
        </is>
      </c>
      <c r="B25" s="12" t="inlineStr">
        <is>
          <t>MKT-08 제휴마케팅(링크프라이스 등) 운영·성과확인</t>
        </is>
      </c>
    </row>
    <row r="26">
      <c r="A26" s="11" t="inlineStr">
        <is>
          <t>콘텐츠제작</t>
        </is>
      </c>
      <c r="B26" s="12" t="inlineStr">
        <is>
          <t>CNT-01 상세페이지 기획·제작</t>
        </is>
      </c>
    </row>
    <row r="27">
      <c r="A27" s="11" t="inlineStr">
        <is>
          <t>콘텐츠제작</t>
        </is>
      </c>
      <c r="B27" s="12" t="inlineStr">
        <is>
          <t>CNT-02 촬영 기획·진행</t>
        </is>
      </c>
    </row>
    <row r="28">
      <c r="A28" s="11" t="inlineStr">
        <is>
          <t>콘텐츠제작</t>
        </is>
      </c>
      <c r="B28" s="12" t="inlineStr">
        <is>
          <t>CNT-03 영상 편집·숏폼 제작</t>
        </is>
      </c>
    </row>
    <row r="29">
      <c r="A29" s="11" t="inlineStr">
        <is>
          <t>콘텐츠제작</t>
        </is>
      </c>
      <c r="B29" s="12" t="inlineStr">
        <is>
          <t>CNT-04 카피·문구 작성</t>
        </is>
      </c>
    </row>
    <row r="30">
      <c r="A30" s="11" t="inlineStr">
        <is>
          <t>콘텐츠제작</t>
        </is>
      </c>
      <c r="B30" s="12" t="inlineStr">
        <is>
          <t>CNT-05 SNS 채널 운영·업로드</t>
        </is>
      </c>
    </row>
    <row r="31">
      <c r="A31" s="11" t="inlineStr">
        <is>
          <t>콘텐츠제작</t>
        </is>
      </c>
      <c r="B31" s="12" t="inlineStr">
        <is>
          <t>CNT-06 디자인 시안 피드백</t>
        </is>
      </c>
    </row>
    <row r="32">
      <c r="A32" s="11" t="inlineStr">
        <is>
          <t>콘텐츠제작</t>
        </is>
      </c>
      <c r="B32" s="12" t="inlineStr">
        <is>
          <t>CNT-07 카탈로그·영업자료 제작</t>
        </is>
      </c>
    </row>
    <row r="33">
      <c r="A33" s="11" t="inlineStr">
        <is>
          <t>채널·스토어운영</t>
        </is>
      </c>
      <c r="B33" s="12" t="inlineStr">
        <is>
          <t>CHN-01 상품 등록·수정(옵션/가격)</t>
        </is>
      </c>
    </row>
    <row r="34">
      <c r="A34" s="11" t="inlineStr">
        <is>
          <t>채널·스토어운영</t>
        </is>
      </c>
      <c r="B34" s="12" t="inlineStr">
        <is>
          <t>CHN-02 오픈마켓·종합몰 MD 커뮤니케이션</t>
        </is>
      </c>
    </row>
    <row r="35">
      <c r="A35" s="11" t="inlineStr">
        <is>
          <t>채널·스토어운영</t>
        </is>
      </c>
      <c r="B35" s="12" t="inlineStr">
        <is>
          <t>CHN-03 자사몰 운영·관리</t>
        </is>
      </c>
    </row>
    <row r="36">
      <c r="A36" s="11" t="inlineStr">
        <is>
          <t>채널·스토어운영</t>
        </is>
      </c>
      <c r="B36" s="12" t="inlineStr">
        <is>
          <t>CHN-04 라이브커머스 준비·진행</t>
        </is>
      </c>
    </row>
    <row r="37">
      <c r="A37" s="11" t="inlineStr">
        <is>
          <t>채널·스토어운영</t>
        </is>
      </c>
      <c r="B37" s="12" t="inlineStr">
        <is>
          <t>CHN-05 리뷰·평점 관리</t>
        </is>
      </c>
    </row>
    <row r="38">
      <c r="A38" s="11" t="inlineStr">
        <is>
          <t>채널·스토어운영</t>
        </is>
      </c>
      <c r="B38" s="12" t="inlineStr">
        <is>
          <t>CHN-06 채널별 프로모션 신청·정산조건 확인</t>
        </is>
      </c>
    </row>
    <row r="39">
      <c r="A39" s="11" t="inlineStr">
        <is>
          <t>CS·물류·재고</t>
        </is>
      </c>
      <c r="B39" s="12" t="inlineStr">
        <is>
          <t>OPS-01 고객문의(CS) 응대</t>
        </is>
      </c>
    </row>
    <row r="40">
      <c r="A40" s="11" t="inlineStr">
        <is>
          <t>CS·물류·재고</t>
        </is>
      </c>
      <c r="B40" s="12" t="inlineStr">
        <is>
          <t>OPS-02 반품·교환·클레임 처리</t>
        </is>
      </c>
    </row>
    <row r="41">
      <c r="A41" s="11" t="inlineStr">
        <is>
          <t>CS·물류·재고</t>
        </is>
      </c>
      <c r="B41" s="12" t="inlineStr">
        <is>
          <t>OPS-03 재고 현황 점검·발주 요청</t>
        </is>
      </c>
    </row>
    <row r="42">
      <c r="A42" s="11" t="inlineStr">
        <is>
          <t>CS·물류·재고</t>
        </is>
      </c>
      <c r="B42" s="12" t="inlineStr">
        <is>
          <t>OPS-04 3PL·물류사 커뮤니케이션</t>
        </is>
      </c>
    </row>
    <row r="43">
      <c r="A43" s="11" t="inlineStr">
        <is>
          <t>CS·물류·재고</t>
        </is>
      </c>
      <c r="B43" s="12" t="inlineStr">
        <is>
          <t>OPS-05 출고 이슈 대응</t>
        </is>
      </c>
    </row>
    <row r="44">
      <c r="A44" s="11" t="inlineStr">
        <is>
          <t>CS·물류·재고</t>
        </is>
      </c>
      <c r="B44" s="12" t="inlineStr">
        <is>
          <t>OPS-06 일일 주문 확인·처리</t>
        </is>
      </c>
    </row>
    <row r="45">
      <c r="A45" s="11" t="inlineStr">
        <is>
          <t>데이터·정산</t>
        </is>
      </c>
      <c r="B45" s="12" t="inlineStr">
        <is>
          <t>DAT-01 일/주 매출 데이터 집계</t>
        </is>
      </c>
    </row>
    <row r="46">
      <c r="A46" s="11" t="inlineStr">
        <is>
          <t>데이터·정산</t>
        </is>
      </c>
      <c r="B46" s="12" t="inlineStr">
        <is>
          <t>DAT-02 광고 ROAS·수익성 분석</t>
        </is>
      </c>
    </row>
    <row r="47">
      <c r="A47" s="11" t="inlineStr">
        <is>
          <t>데이터·정산</t>
        </is>
      </c>
      <c r="B47" s="12" t="inlineStr">
        <is>
          <t>DAT-03 채널별 정산·수수료 확인</t>
        </is>
      </c>
    </row>
    <row r="48">
      <c r="A48" s="11" t="inlineStr">
        <is>
          <t>데이터·정산</t>
        </is>
      </c>
      <c r="B48" s="12" t="inlineStr">
        <is>
          <t>DAT-04 리포트·대시보드 작성</t>
        </is>
      </c>
    </row>
    <row r="49">
      <c r="A49" s="11" t="inlineStr">
        <is>
          <t>데이터·정산</t>
        </is>
      </c>
      <c r="B49" s="12" t="inlineStr">
        <is>
          <t>DAT-05 손익(P&amp;L) 관리</t>
        </is>
      </c>
    </row>
    <row r="50">
      <c r="A50" s="11" t="inlineStr">
        <is>
          <t>기획·보고·회의</t>
        </is>
      </c>
      <c r="B50" s="12" t="inlineStr">
        <is>
          <t>MGT-01 팀 내부 회의</t>
        </is>
      </c>
    </row>
    <row r="51">
      <c r="A51" s="11" t="inlineStr">
        <is>
          <t>기획·보고·회의</t>
        </is>
      </c>
      <c r="B51" s="12" t="inlineStr">
        <is>
          <t>MGT-02 본부·전사 회의</t>
        </is>
      </c>
    </row>
    <row r="52">
      <c r="A52" s="11" t="inlineStr">
        <is>
          <t>기획·보고·회의</t>
        </is>
      </c>
      <c r="B52" s="12" t="inlineStr">
        <is>
          <t>MGT-03 타 팀 협업 회의</t>
        </is>
      </c>
    </row>
    <row r="53">
      <c r="A53" s="11" t="inlineStr">
        <is>
          <t>기획·보고·회의</t>
        </is>
      </c>
      <c r="B53" s="12" t="inlineStr">
        <is>
          <t>MGT-04 상급자 보고·결재</t>
        </is>
      </c>
    </row>
    <row r="54">
      <c r="A54" s="11" t="inlineStr">
        <is>
          <t>기획·보고·회의</t>
        </is>
      </c>
      <c r="B54" s="12" t="inlineStr">
        <is>
          <t>MGT-05 기획안·제안서 작성</t>
        </is>
      </c>
    </row>
    <row r="55">
      <c r="A55" s="11" t="inlineStr">
        <is>
          <t>기획·보고·회의</t>
        </is>
      </c>
      <c r="B55" s="12" t="inlineStr">
        <is>
          <t>MGT-06 팀원 업무·산출물 검토·피드백</t>
        </is>
      </c>
    </row>
    <row r="56">
      <c r="A56" s="11" t="inlineStr">
        <is>
          <t>기획·보고·회의</t>
        </is>
      </c>
      <c r="B56" s="12" t="inlineStr">
        <is>
          <t>MGT-07 업무 인수인계·이관</t>
        </is>
      </c>
    </row>
    <row r="57">
      <c r="A57" s="11" t="inlineStr">
        <is>
          <t>사내시스템·자동화</t>
        </is>
      </c>
      <c r="B57" s="12" t="inlineStr">
        <is>
          <t>SYS-01 사내 시스템·앱 기획/개선 요청</t>
        </is>
      </c>
    </row>
    <row r="58">
      <c r="A58" s="11" t="inlineStr">
        <is>
          <t>파트너·대리점관리</t>
        </is>
      </c>
      <c r="B58" s="12" t="inlineStr">
        <is>
          <t>PTR-01 대리점·파트너사 방문·미팅</t>
        </is>
      </c>
    </row>
    <row r="59">
      <c r="A59" s="11" t="inlineStr">
        <is>
          <t>파트너·대리점관리</t>
        </is>
      </c>
      <c r="B59" s="12" t="inlineStr">
        <is>
          <t>PTR-02 대리점·파트너 인터뷰·VOC 수집</t>
        </is>
      </c>
    </row>
    <row r="60">
      <c r="A60" s="11" t="inlineStr">
        <is>
          <t>기타·행정</t>
        </is>
      </c>
      <c r="B60" s="12" t="inlineStr">
        <is>
          <t>ETC-01 메일·메신저 확인 및 회신</t>
        </is>
      </c>
    </row>
    <row r="61">
      <c r="A61" s="11" t="inlineStr">
        <is>
          <t>기타·행정</t>
        </is>
      </c>
      <c r="B61" s="12" t="inlineStr">
        <is>
          <t>ETC-02 행정·경비·구매 처리</t>
        </is>
      </c>
    </row>
    <row r="62">
      <c r="A62" s="11" t="inlineStr">
        <is>
          <t>기타·행정</t>
        </is>
      </c>
      <c r="B62" s="12" t="inlineStr">
        <is>
          <t>ETC-03 채용·교육·인사</t>
        </is>
      </c>
    </row>
    <row r="63">
      <c r="A63" s="11" t="inlineStr">
        <is>
          <t>기타·행정</t>
        </is>
      </c>
      <c r="B63" s="12" t="inlineStr">
        <is>
          <t>ETC-04 이동·외근</t>
        </is>
      </c>
    </row>
    <row r="64">
      <c r="A64" s="11" t="inlineStr">
        <is>
          <t>기타·행정</t>
        </is>
      </c>
      <c r="B64" s="12" t="inlineStr">
        <is>
          <t>ETC-05 휴게·점심</t>
        </is>
      </c>
    </row>
    <row r="66">
      <c r="A66" s="41" t="inlineStr">
        <is>
          <t>■ 신규 추가 분류코드 — 2026-08-10~14 김송희(브랜드커머스) 업무일지 반영분</t>
        </is>
      </c>
    </row>
    <row r="67">
      <c r="A67" s="42" t="inlineStr">
        <is>
          <t>업무 대분류</t>
        </is>
      </c>
      <c r="B67" s="42" t="inlineStr">
        <is>
          <t>업무 중분류 (신규 코드)</t>
        </is>
      </c>
      <c r="D67" s="42" t="inlineStr">
        <is>
          <t>추가 사유</t>
        </is>
      </c>
    </row>
    <row r="68">
      <c r="A68" s="43" t="inlineStr">
        <is>
          <t>제조·생산관리</t>
        </is>
      </c>
      <c r="B68" s="43" t="inlineStr">
        <is>
          <t>MFG-08 MSDS·라벨 등 제품 표시사항 제작</t>
        </is>
      </c>
      <c r="D68" s="44" t="inlineStr">
        <is>
          <t>MSDS·라벨 등 제품 표시사항 제작 업무가 기존 MFG-05(수입통관·인증)로 포괄되지 않아 신설</t>
        </is>
      </c>
    </row>
    <row r="69">
      <c r="A69" s="43" t="inlineStr">
        <is>
          <t>마케팅·광고운영</t>
        </is>
      </c>
      <c r="B69" s="43" t="inlineStr">
        <is>
          <t>MKT-08 제휴마케팅(링크프라이스 등) 운영·성과확인</t>
        </is>
      </c>
      <c r="D69" s="44" t="inlineStr">
        <is>
          <t>링크프라이스 등 제휴(CPS) 채널 운영·주간보고가 MKT-01/02(직접 광고 집행)와 성격이 달라 신설</t>
        </is>
      </c>
    </row>
    <row r="70">
      <c r="A70" s="43" t="inlineStr">
        <is>
          <t>콘텐츠제작</t>
        </is>
      </c>
      <c r="B70" s="43" t="inlineStr">
        <is>
          <t>CNT-07 카탈로그·영업자료 제작</t>
        </is>
      </c>
      <c r="D70" s="44" t="inlineStr">
        <is>
          <t>부자재 소개 카달로그 등 오프라인·영업용 자료 제작이 CNT-01(상세페이지)과 달라 신설</t>
        </is>
      </c>
    </row>
    <row r="71">
      <c r="A71" s="43" t="inlineStr">
        <is>
          <t>CS·물류·재고</t>
        </is>
      </c>
      <c r="B71" s="43" t="inlineStr">
        <is>
          <t>OPS-06 일일 주문 확인·처리</t>
        </is>
      </c>
      <c r="D71" s="44" t="inlineStr">
        <is>
          <t>매일 반복되는 주문건 확인 업무가 기존 OPS-01~05에 없어 신설</t>
        </is>
      </c>
    </row>
    <row r="72">
      <c r="A72" s="43" t="inlineStr">
        <is>
          <t>기획·보고·회의</t>
        </is>
      </c>
      <c r="B72" s="43" t="inlineStr">
        <is>
          <t>MGT-06 팀원 업무·산출물 검토·피드백</t>
        </is>
      </c>
      <c r="D72" s="44" t="inlineStr">
        <is>
          <t>리드 직무의 핵심인 팀원 산출물 검토·피드백·컨펌이 MGT-01~05에 없어 신설</t>
        </is>
      </c>
    </row>
    <row r="73">
      <c r="A73" s="43" t="inlineStr">
        <is>
          <t>기획·보고·회의</t>
        </is>
      </c>
      <c r="B73" s="43" t="inlineStr">
        <is>
          <t>MGT-07 업무 인수인계·이관</t>
        </is>
      </c>
      <c r="D73" s="44" t="inlineStr">
        <is>
          <t>조직 개편에 따른 업무 인수인계(그로홈 등)를 기록할 코드가 없어 신설</t>
        </is>
      </c>
    </row>
    <row r="74">
      <c r="A74" s="43" t="inlineStr">
        <is>
          <t>사내시스템·자동화 ★신규 대분류</t>
        </is>
      </c>
      <c r="B74" s="43" t="inlineStr">
        <is>
          <t>SYS-01 사내 시스템·앱 기획/개선 요청</t>
        </is>
      </c>
      <c r="D74" s="44" t="inlineStr">
        <is>
          <t>소싱앱·CRM센터 등 사내 시스템 기획/개선 요청 업무를 담을 대분류·코드가 없어 신설</t>
        </is>
      </c>
    </row>
    <row r="75">
      <c r="A75" s="43" t="inlineStr">
        <is>
          <t>파트너·대리점관리 ★신규 대분류</t>
        </is>
      </c>
      <c r="B75" s="43" t="inlineStr">
        <is>
          <t>PTR-01 대리점·파트너사 방문·미팅</t>
        </is>
      </c>
      <c r="D75" s="44" t="inlineStr">
        <is>
          <t>대리점·파트너사 대상 방문/미팅 업무를 담을 대분류·코드가 없어 신설</t>
        </is>
      </c>
    </row>
    <row r="76">
      <c r="A76" s="43" t="inlineStr">
        <is>
          <t>파트너·대리점관리 ★신규 대분류</t>
        </is>
      </c>
      <c r="B76" s="43" t="inlineStr">
        <is>
          <t>PTR-02 대리점·파트너 인터뷰·VOC 수집</t>
        </is>
      </c>
      <c r="D76" s="44" t="inlineStr">
        <is>
          <t>대리점 인터뷰·VOC 수집(질문지 제작·현장 인터뷰)을 담을 코드가 없어 신설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Q109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G13" sqref="G13"/>
    </sheetView>
  </sheetViews>
  <sheetFormatPr baseColWidth="8" defaultColWidth="8.7109375" defaultRowHeight="15"/>
  <cols>
    <col width="17.5703125" customWidth="1" min="1" max="1"/>
    <col width="25" customWidth="1" min="2" max="2"/>
    <col width="7" customWidth="1" min="3" max="5"/>
    <col width="16" customWidth="1" min="6" max="6"/>
    <col width="32" customWidth="1" min="7" max="7"/>
    <col width="42" customWidth="1" min="8" max="8"/>
    <col width="20" customWidth="1" min="9" max="9"/>
    <col width="21.85546875" customWidth="1" min="10" max="10"/>
    <col width="16" customWidth="1" min="11" max="11"/>
    <col width="18" customWidth="1" min="12" max="12"/>
    <col width="16" customWidth="1" min="13" max="13"/>
    <col width="12" customWidth="1" min="14" max="14"/>
    <col width="18" customWidth="1" min="15" max="15"/>
    <col width="16" customWidth="1" min="16" max="16"/>
    <col width="26" customWidth="1" min="17" max="17"/>
  </cols>
  <sheetData>
    <row r="1" ht="25.5" customHeight="1">
      <c r="A1" s="34" t="inlineStr">
        <is>
          <t>커머스 본부 일간업무일지 (주간) — 30분 단위 기록</t>
        </is>
      </c>
    </row>
    <row r="2">
      <c r="A2" s="32" t="inlineStr">
        <is>
          <t>소속팀</t>
        </is>
      </c>
      <c r="B2" s="3" t="inlineStr">
        <is>
          <t>브랜드커머스</t>
        </is>
      </c>
      <c r="C2" s="32" t="inlineStr">
        <is>
          <t>이름</t>
        </is>
      </c>
      <c r="D2" s="35" t="inlineStr">
        <is>
          <t>김송희</t>
        </is>
      </c>
      <c r="E2" s="45" t="n"/>
      <c r="F2" s="32" t="inlineStr">
        <is>
          <t>직위/직무</t>
        </is>
      </c>
      <c r="G2" s="35" t="inlineStr">
        <is>
          <t>브랜드커머스, 모여라딜 리드</t>
        </is>
      </c>
      <c r="H2" s="45" t="n"/>
    </row>
    <row r="3">
      <c r="A3" s="16" t="inlineStr">
        <is>
          <t>기준 주(월요일)</t>
        </is>
      </c>
      <c r="B3" s="46" t="n">
        <v>46244</v>
      </c>
      <c r="C3" s="32" t="inlineStr">
        <is>
          <t>작성일</t>
        </is>
      </c>
      <c r="D3" s="47" t="n">
        <v>46248</v>
      </c>
      <c r="E3" s="45" t="n"/>
      <c r="F3" s="32" t="inlineStr">
        <is>
          <t>팀장 확인</t>
        </is>
      </c>
      <c r="G3" s="36" t="inlineStr"/>
      <c r="H3" s="45" t="n"/>
    </row>
    <row r="4" ht="30" customHeight="1">
      <c r="A4" s="31" t="inlineStr">
        <is>
          <t>작성법 ▶ B3(월요일 날짜)만 입력하면 일자가 자동 계산됩니다. 6~7열은 반드시 드롭다운에서 선택하세요(자유입력 시 중복분석 불가). 빈 시간대가 없도록 채우고, 야근·조기출근은 각 요일 하단 [추가] 행에 시간을 직접 입력하세요. 7행은 작성 예시입니다(작성 시 삭제).</t>
        </is>
      </c>
    </row>
    <row r="5" ht="30" customHeight="1">
      <c r="A5" s="48" t="inlineStr">
        <is>
          <t>※ 작성 근거 ▶ 본 시트는 POUR OS 주간 업무보드(2026-08-10~14, 김송희) 기록을 기준으로 작성했습니다. 보드에 항목으로 잡히지 않는 ETC-01(메일·메신저 확인)·ETC-05(휴게·점심), 그리고 각 업무의 시작/종료 시각과 소요시간은 09:00~18:00 근무 기준 추정치이므로 본인 확인 후 조정해 주세요. 전주 이월 진행중 업무 2건(단가·공헌이익 대시보드 / 코트재 MSDS 31종)은 주중 분산 기록했습니다.</t>
        </is>
      </c>
    </row>
    <row r="6" ht="33.75" customHeight="1">
      <c r="A6" s="18" t="inlineStr">
        <is>
          <t>일자</t>
        </is>
      </c>
      <c r="B6" s="18" t="inlineStr">
        <is>
          <t>요일</t>
        </is>
      </c>
      <c r="C6" s="18" t="inlineStr">
        <is>
          <t>시작</t>
        </is>
      </c>
      <c r="D6" s="18" t="inlineStr">
        <is>
          <t>종료</t>
        </is>
      </c>
      <c r="E6" s="18" t="inlineStr">
        <is>
          <t>소요
(분)</t>
        </is>
      </c>
      <c r="F6" s="18" t="inlineStr">
        <is>
          <t>업무 대분류</t>
        </is>
      </c>
      <c r="G6" s="18" t="inlineStr">
        <is>
          <t>업무 중분류 (드롭다운 필수)</t>
        </is>
      </c>
      <c r="H6" s="18" t="inlineStr">
        <is>
          <t>업무 내용 (구체적으로)</t>
        </is>
      </c>
      <c r="I6" s="18" t="inlineStr">
        <is>
          <t>대상 브랜드/상품/채널</t>
        </is>
      </c>
      <c r="J6" s="18" t="inlineStr">
        <is>
          <t>사용 시스템·툴</t>
        </is>
      </c>
      <c r="K6" s="18" t="inlineStr">
        <is>
          <t>협업 대상 (사내)</t>
        </is>
      </c>
      <c r="L6" s="18" t="inlineStr">
        <is>
          <t>협업 대상 (사외/거래처)</t>
        </is>
      </c>
      <c r="M6" s="18" t="inlineStr">
        <is>
          <t>산출물</t>
        </is>
      </c>
      <c r="N6" s="18" t="inlineStr">
        <is>
          <t>반복주기</t>
        </is>
      </c>
      <c r="O6" s="18" t="inlineStr">
        <is>
          <t>업무 성격</t>
        </is>
      </c>
      <c r="P6" s="18" t="inlineStr">
        <is>
          <t>타팀 중복예상</t>
        </is>
      </c>
      <c r="Q6" s="18" t="inlineStr">
        <is>
          <t>개선·자동화 아이디어</t>
        </is>
      </c>
    </row>
    <row r="7" ht="30" customFormat="1" customHeight="1" s="22">
      <c r="A7" s="49">
        <f>IF($B$3="","",$B$3)</f>
        <v/>
      </c>
      <c r="B7" s="20" t="inlineStr">
        <is>
          <t>월</t>
        </is>
      </c>
      <c r="C7" s="50" t="n"/>
      <c r="D7" s="50" t="n"/>
      <c r="E7" s="20">
        <f>IF(OR(C7="",D7=""),"",(D7-C7)*1440)</f>
        <v/>
      </c>
      <c r="F7" s="20" t="n"/>
      <c r="G7" s="19" t="n"/>
      <c r="H7" s="21" t="n"/>
      <c r="I7" s="19" t="n"/>
      <c r="J7" s="20" t="n"/>
      <c r="K7" s="20" t="n"/>
      <c r="L7" s="20" t="n"/>
      <c r="M7" s="20" t="n"/>
      <c r="N7" s="20" t="n"/>
      <c r="O7" s="20" t="n"/>
      <c r="P7" s="20" t="n"/>
      <c r="Q7" s="21" t="n"/>
    </row>
    <row r="8" ht="19.5" customHeight="1">
      <c r="A8" s="51">
        <f>IF($B$3="","",$B$3+0)</f>
        <v/>
      </c>
      <c r="B8" s="17" t="inlineStr">
        <is>
          <t>월</t>
        </is>
      </c>
      <c r="C8" s="52" t="n">
        <v>0.375</v>
      </c>
      <c r="D8" s="52" t="n">
        <v>0.3958333333333333</v>
      </c>
      <c r="E8" s="5">
        <f>IF(OR(C8="",D8=""),"",(D8-C8)*1440)</f>
        <v/>
      </c>
      <c r="F8" s="8" t="inlineStr">
        <is>
          <t>기타·행정</t>
        </is>
      </c>
      <c r="G8" s="8" t="inlineStr">
        <is>
          <t>ETC-01 메일·메신저 확인 및 회신</t>
        </is>
      </c>
      <c r="H8" s="9" t="inlineStr">
        <is>
          <t>출근 후 메일·메신저·업무보드 확인 및 회신</t>
        </is>
      </c>
      <c r="I8" s="8" t="inlineStr">
        <is>
          <t>전사</t>
        </is>
      </c>
      <c r="J8" s="8" t="inlineStr">
        <is>
          <t>POUR OS(업무보드)</t>
        </is>
      </c>
      <c r="K8" s="8" t="n"/>
      <c r="L8" s="8" t="n"/>
      <c r="M8" s="8" t="inlineStr">
        <is>
          <t>회신 처리</t>
        </is>
      </c>
      <c r="N8" s="8" t="inlineStr">
        <is>
          <t>매일</t>
        </is>
      </c>
      <c r="O8" s="8" t="inlineStr">
        <is>
          <t>정형(매뉴얼화 가능)</t>
        </is>
      </c>
      <c r="P8" s="8" t="inlineStr">
        <is>
          <t>예 - 확실히 중복</t>
        </is>
      </c>
      <c r="Q8" s="9" t="inlineStr">
        <is>
          <t>팀별 요청·공지를 업무보드 알림 하나로 일원화</t>
        </is>
      </c>
    </row>
    <row r="9" ht="19.5" customHeight="1">
      <c r="A9" s="51">
        <f>IF($B$3="","",$B$3+0)</f>
        <v/>
      </c>
      <c r="B9" s="6" t="inlineStr">
        <is>
          <t>월</t>
        </is>
      </c>
      <c r="C9" s="52" t="n">
        <v>0.3958333333333333</v>
      </c>
      <c r="D9" s="52" t="n">
        <v>0.4166666666666667</v>
      </c>
      <c r="E9" s="5">
        <f>IF(OR(C9="",D9=""),"",(D9-C9)*1440)</f>
        <v/>
      </c>
      <c r="F9" s="8" t="inlineStr">
        <is>
          <t>CS·물류·재고</t>
        </is>
      </c>
      <c r="G9" s="8" t="inlineStr">
        <is>
          <t>OPS-06 일일 주문 확인·처리</t>
        </is>
      </c>
      <c r="H9" s="9" t="inlineStr">
        <is>
          <t>금일 주문건 확인 — 자사몰·오픈마켓 신규 주문 및 이상건 점검</t>
        </is>
      </c>
      <c r="I9" s="8" t="inlineStr">
        <is>
          <t>POUR스토어 / 자사몰·오픈마켓</t>
        </is>
      </c>
      <c r="J9" s="8" t="inlineStr">
        <is>
          <t>자사몰 관리자, 쿠팡 WING, 스마트스토어센터</t>
        </is>
      </c>
      <c r="K9" s="8" t="n"/>
      <c r="L9" s="8" t="n"/>
      <c r="M9" s="8" t="inlineStr">
        <is>
          <t>일일 주문 확인 내역</t>
        </is>
      </c>
      <c r="N9" s="8" t="inlineStr">
        <is>
          <t>매일</t>
        </is>
      </c>
      <c r="O9" s="8" t="inlineStr">
        <is>
          <t>정형(매뉴얼화 가능)</t>
        </is>
      </c>
      <c r="P9" s="8" t="inlineStr">
        <is>
          <t>예 - 확실히 중복</t>
        </is>
      </c>
      <c r="Q9" s="9" t="inlineStr">
        <is>
          <t>채널별 주문을 통합 주문판으로 자동 취합</t>
        </is>
      </c>
    </row>
    <row r="10" ht="19.5" customHeight="1">
      <c r="A10" s="51">
        <f>IF($B$3="","",$B$3+0)</f>
        <v/>
      </c>
      <c r="B10" s="6" t="inlineStr">
        <is>
          <t>월</t>
        </is>
      </c>
      <c r="C10" s="52" t="n">
        <v>0.4166666666666667</v>
      </c>
      <c r="D10" s="52" t="n">
        <v>0.4583333333333333</v>
      </c>
      <c r="E10" s="5">
        <f>IF(OR(C10="",D10=""),"",(D10-C10)*1440)</f>
        <v/>
      </c>
      <c r="F10" s="8" t="inlineStr">
        <is>
          <t>마케팅·광고운영</t>
        </is>
      </c>
      <c r="G10" s="8" t="inlineStr">
        <is>
          <t>MKT-08 제휴마케팅(링크프라이스 등) 운영·성과확인</t>
        </is>
      </c>
      <c r="H10" s="9" t="inlineStr">
        <is>
          <t>링크프라이스 제휴광고 집행 현황 확인 및 신제품 검색 시 상위노출 여부 점검</t>
        </is>
      </c>
      <c r="I10" s="8" t="inlineStr">
        <is>
          <t>POUR스토어 / 링크프라이스·네이버쇼핑</t>
        </is>
      </c>
      <c r="J10" s="8" t="inlineStr">
        <is>
          <t>링크프라이스 관리자, 네이버쇼핑</t>
        </is>
      </c>
      <c r="K10" s="8" t="n"/>
      <c r="L10" s="8" t="inlineStr">
        <is>
          <t>링크프라이스</t>
        </is>
      </c>
      <c r="M10" s="8" t="inlineStr">
        <is>
          <t>제휴광고 현황 점검 메모</t>
        </is>
      </c>
      <c r="N10" s="8" t="inlineStr">
        <is>
          <t>주 1회</t>
        </is>
      </c>
      <c r="O10" s="8" t="inlineStr">
        <is>
          <t>반정형</t>
        </is>
      </c>
      <c r="P10" s="8" t="inlineStr">
        <is>
          <t>아마도 중복</t>
        </is>
      </c>
      <c r="Q10" s="9" t="inlineStr">
        <is>
          <t>제휴·검색광고 성과를 본부 공용 대시보드로 자동 수집</t>
        </is>
      </c>
    </row>
    <row r="11" ht="19.5" customHeight="1">
      <c r="A11" s="51">
        <f>IF($B$3="","",$B$3+0)</f>
        <v/>
      </c>
      <c r="B11" s="6" t="inlineStr">
        <is>
          <t>월</t>
        </is>
      </c>
      <c r="C11" s="52" t="n">
        <v>0.4583333333333333</v>
      </c>
      <c r="D11" s="52" t="n">
        <v>0.4791666666666667</v>
      </c>
      <c r="E11" s="5">
        <f>IF(OR(C11="",D11=""),"",(D11-C11)*1440)</f>
        <v/>
      </c>
      <c r="F11" s="8" t="inlineStr">
        <is>
          <t>마케팅·광고운영</t>
        </is>
      </c>
      <c r="G11" s="8" t="inlineStr">
        <is>
          <t>MKT-05 프로모션·기획전 기획</t>
        </is>
      </c>
      <c r="H11" s="9" t="inlineStr">
        <is>
          <t>8월 프로모션 기획 요청 — 민지님께 기획 방향 전달 및 작성 요청</t>
        </is>
      </c>
      <c r="I11" s="8" t="inlineStr">
        <is>
          <t>POUR스토어</t>
        </is>
      </c>
      <c r="J11" s="8" t="inlineStr">
        <is>
          <t>POUR OS(업무보드)</t>
        </is>
      </c>
      <c r="K11" s="8" t="inlineStr">
        <is>
          <t>김민지</t>
        </is>
      </c>
      <c r="L11" s="8" t="n"/>
      <c r="M11" s="8" t="inlineStr">
        <is>
          <t>프로모션 기획 요청서</t>
        </is>
      </c>
      <c r="N11" s="8" t="inlineStr">
        <is>
          <t>월 1회</t>
        </is>
      </c>
      <c r="O11" s="8" t="inlineStr">
        <is>
          <t>반정형</t>
        </is>
      </c>
      <c r="P11" s="8" t="inlineStr">
        <is>
          <t>아마도 중복</t>
        </is>
      </c>
      <c r="Q11" s="9" t="inlineStr">
        <is>
          <t>프로모션 기획 요청 양식 표준화 + 본부 공용 프로모션 캘린더</t>
        </is>
      </c>
    </row>
    <row r="12" ht="19.5" customHeight="1">
      <c r="A12" s="51">
        <f>IF($B$3="","",$B$3+0)</f>
        <v/>
      </c>
      <c r="B12" s="6" t="inlineStr">
        <is>
          <t>월</t>
        </is>
      </c>
      <c r="C12" s="52" t="n">
        <v>0.4791666666666667</v>
      </c>
      <c r="D12" s="52" t="n">
        <v>0.5</v>
      </c>
      <c r="E12" s="5">
        <f>IF(OR(C12="",D12=""),"",(D12-C12)*1440)</f>
        <v/>
      </c>
      <c r="F12" s="8" t="inlineStr">
        <is>
          <t>파트너·대리점관리</t>
        </is>
      </c>
      <c r="G12" s="8" t="inlineStr">
        <is>
          <t>PTR-02 대리점·파트너 인터뷰·VOC 수집</t>
        </is>
      </c>
      <c r="H12" s="9" t="inlineStr">
        <is>
          <t>금요일 부산 대리점 방문 미팅·인터뷰 질문지 제작 요청(란님께)</t>
        </is>
      </c>
      <c r="I12" s="8" t="inlineStr">
        <is>
          <t>대리점(가나랜드·겸남지사)</t>
        </is>
      </c>
      <c r="J12" s="8" t="inlineStr">
        <is>
          <t>POUR OS(업무보드)</t>
        </is>
      </c>
      <c r="K12" s="8" t="inlineStr">
        <is>
          <t>이란</t>
        </is>
      </c>
      <c r="L12" s="8" t="n"/>
      <c r="M12" s="8" t="inlineStr">
        <is>
          <t>대리점 인터뷰 질문지</t>
        </is>
      </c>
      <c r="N12" s="8" t="inlineStr">
        <is>
          <t>분기/비정기</t>
        </is>
      </c>
      <c r="O12" s="8" t="inlineStr">
        <is>
          <t>반정형</t>
        </is>
      </c>
      <c r="P12" s="8" t="inlineStr">
        <is>
          <t>모름</t>
        </is>
      </c>
      <c r="Q12" s="9" t="inlineStr">
        <is>
          <t>대리점 인터뷰 질문지 표준 템플릿화</t>
        </is>
      </c>
    </row>
    <row r="13" ht="19.5" customHeight="1">
      <c r="A13" s="51">
        <f>IF($B$3="","",$B$3+0)</f>
        <v/>
      </c>
      <c r="B13" s="6" t="inlineStr">
        <is>
          <t>월</t>
        </is>
      </c>
      <c r="C13" s="52" t="n">
        <v>0.5</v>
      </c>
      <c r="D13" s="52" t="n">
        <v>0.5416666666666666</v>
      </c>
      <c r="E13" s="5">
        <f>IF(OR(C13="",D13=""),"",(D13-C13)*1440)</f>
        <v/>
      </c>
      <c r="F13" s="8" t="inlineStr">
        <is>
          <t>기타·행정</t>
        </is>
      </c>
      <c r="G13" s="8" t="inlineStr">
        <is>
          <t>ETC-05 휴게·점심</t>
        </is>
      </c>
      <c r="H13" s="9" t="inlineStr">
        <is>
          <t>점심 및 휴게</t>
        </is>
      </c>
      <c r="I13" s="8" t="n"/>
      <c r="J13" s="8" t="n"/>
      <c r="K13" s="8" t="n"/>
      <c r="L13" s="8" t="n"/>
      <c r="M13" s="8" t="n"/>
      <c r="N13" s="8" t="inlineStr">
        <is>
          <t>매일</t>
        </is>
      </c>
      <c r="O13" s="8" t="inlineStr">
        <is>
          <t>정형(매뉴얼화 가능)</t>
        </is>
      </c>
      <c r="P13" s="8" t="inlineStr">
        <is>
          <t>예 - 확실히 중복</t>
        </is>
      </c>
      <c r="Q13" s="9" t="n"/>
    </row>
    <row r="14" ht="19.5" customHeight="1">
      <c r="A14" s="51">
        <f>IF($B$3="","",$B$3+0)</f>
        <v/>
      </c>
      <c r="B14" s="6" t="inlineStr">
        <is>
          <t>월</t>
        </is>
      </c>
      <c r="C14" s="52" t="n">
        <v>0.5416666666666666</v>
      </c>
      <c r="D14" s="52" t="n">
        <v>0.5625</v>
      </c>
      <c r="E14" s="5">
        <f>IF(OR(C14="",D14=""),"",(D14-C14)*1440)</f>
        <v/>
      </c>
      <c r="F14" s="8" t="inlineStr">
        <is>
          <t>사내시스템·자동화</t>
        </is>
      </c>
      <c r="G14" s="8" t="inlineStr">
        <is>
          <t>SYS-01 사내 시스템·앱 기획/개선 요청</t>
        </is>
      </c>
      <c r="H14" s="9" t="inlineStr">
        <is>
          <t>CRM센터 NPS 기능 개선 요청 — 채림님께 개선 항목 정리·전달</t>
        </is>
      </c>
      <c r="I14" s="8" t="inlineStr">
        <is>
          <t>CRM센터</t>
        </is>
      </c>
      <c r="J14" s="8" t="inlineStr">
        <is>
          <t>CRM센터</t>
        </is>
      </c>
      <c r="K14" s="8" t="inlineStr">
        <is>
          <t>양채림</t>
        </is>
      </c>
      <c r="L14" s="8" t="n"/>
      <c r="M14" s="8" t="inlineStr">
        <is>
          <t>기능 개선 요청 내역</t>
        </is>
      </c>
      <c r="N14" s="8" t="inlineStr">
        <is>
          <t>주 1회</t>
        </is>
      </c>
      <c r="O14" s="8" t="inlineStr">
        <is>
          <t>반정형</t>
        </is>
      </c>
      <c r="P14" s="8" t="inlineStr">
        <is>
          <t>모름</t>
        </is>
      </c>
      <c r="Q14" s="9" t="inlineStr">
        <is>
          <t>사내 시스템 개선 요청을 티켓(이슈보드)으로 단일 창구화</t>
        </is>
      </c>
    </row>
    <row r="15" ht="19.5" customHeight="1">
      <c r="A15" s="51">
        <f>IF($B$3="","",$B$3+0)</f>
        <v/>
      </c>
      <c r="B15" s="6" t="inlineStr">
        <is>
          <t>월</t>
        </is>
      </c>
      <c r="C15" s="52" t="n">
        <v>0.5625</v>
      </c>
      <c r="D15" s="52" t="n">
        <v>0.5833333333333334</v>
      </c>
      <c r="E15" s="5">
        <f>IF(OR(C15="",D15=""),"",(D15-C15)*1440)</f>
        <v/>
      </c>
      <c r="F15" s="8" t="inlineStr">
        <is>
          <t>사내시스템·자동화</t>
        </is>
      </c>
      <c r="G15" s="8" t="inlineStr">
        <is>
          <t>SYS-01 사내 시스템·앱 기획/개선 요청</t>
        </is>
      </c>
      <c r="H15" s="9" t="inlineStr">
        <is>
          <t>소싱앱 기능 고도화 요청(정하님께)</t>
        </is>
      </c>
      <c r="I15" s="8" t="inlineStr">
        <is>
          <t>소싱앱</t>
        </is>
      </c>
      <c r="J15" s="8" t="inlineStr">
        <is>
          <t>소싱앱</t>
        </is>
      </c>
      <c r="K15" s="8" t="inlineStr">
        <is>
          <t>정하</t>
        </is>
      </c>
      <c r="L15" s="8" t="n"/>
      <c r="M15" s="8" t="inlineStr">
        <is>
          <t>기능 고도화 요청 내역</t>
        </is>
      </c>
      <c r="N15" s="8" t="inlineStr">
        <is>
          <t>주 1회</t>
        </is>
      </c>
      <c r="O15" s="8" t="inlineStr">
        <is>
          <t>반정형</t>
        </is>
      </c>
      <c r="P15" s="8" t="inlineStr">
        <is>
          <t>모름</t>
        </is>
      </c>
      <c r="Q15" s="9" t="inlineStr">
        <is>
          <t>사내 시스템 개선 요청을 티켓(이슈보드)으로 단일 창구화</t>
        </is>
      </c>
    </row>
    <row r="16" ht="19.5" customHeight="1">
      <c r="A16" s="51">
        <f>IF($B$3="","",$B$3+0)</f>
        <v/>
      </c>
      <c r="B16" s="6" t="inlineStr">
        <is>
          <t>월</t>
        </is>
      </c>
      <c r="C16" s="52" t="n">
        <v>0.5833333333333334</v>
      </c>
      <c r="D16" s="52" t="n">
        <v>0.625</v>
      </c>
      <c r="E16" s="5">
        <f>IF(OR(C16="",D16=""),"",(D16-C16)*1440)</f>
        <v/>
      </c>
      <c r="F16" s="8" t="inlineStr">
        <is>
          <t>사내시스템·자동화</t>
        </is>
      </c>
      <c r="G16" s="8" t="inlineStr">
        <is>
          <t>SYS-01 사내 시스템·앱 기획/개선 요청</t>
        </is>
      </c>
      <c r="H16" s="9" t="inlineStr">
        <is>
          <t>소싱앱 UX/UI 개선 — 정하님 추가 고도화 건 화면별 피드백 작성</t>
        </is>
      </c>
      <c r="I16" s="8" t="inlineStr">
        <is>
          <t>소싱앱</t>
        </is>
      </c>
      <c r="J16" s="8" t="inlineStr">
        <is>
          <t>소싱앱</t>
        </is>
      </c>
      <c r="K16" s="8" t="inlineStr">
        <is>
          <t>정하</t>
        </is>
      </c>
      <c r="L16" s="8" t="n"/>
      <c r="M16" s="8" t="inlineStr">
        <is>
          <t>UX/UI 개선 피드백</t>
        </is>
      </c>
      <c r="N16" s="8" t="inlineStr">
        <is>
          <t>주 2~3회</t>
        </is>
      </c>
      <c r="O16" s="8" t="inlineStr">
        <is>
          <t>비정형(판단 필요)</t>
        </is>
      </c>
      <c r="P16" s="8" t="inlineStr">
        <is>
          <t>모름</t>
        </is>
      </c>
      <c r="Q16" s="9" t="inlineStr">
        <is>
          <t>개선 요청·피드백 이력을 앱 내 이슈보드로 관리해 재설명 시간 제거</t>
        </is>
      </c>
    </row>
    <row r="17" ht="19.5" customHeight="1">
      <c r="A17" s="51">
        <f>IF($B$3="","",$B$3+0)</f>
        <v/>
      </c>
      <c r="B17" s="6" t="inlineStr">
        <is>
          <t>월</t>
        </is>
      </c>
      <c r="C17" s="52" t="n">
        <v>0.625</v>
      </c>
      <c r="D17" s="52" t="n">
        <v>0.6458333333333334</v>
      </c>
      <c r="E17" s="5">
        <f>IF(OR(C17="",D17=""),"",(D17-C17)*1440)</f>
        <v/>
      </c>
      <c r="F17" s="8" t="inlineStr">
        <is>
          <t>채널·스토어운영</t>
        </is>
      </c>
      <c r="G17" s="8" t="inlineStr">
        <is>
          <t>CHN-01 상품 등록·수정(옵션/가격)</t>
        </is>
      </c>
      <c r="H17" s="9" t="inlineStr">
        <is>
          <t>가나랜드(대리점) 스마트스토어 상품등록 요청(란님께)</t>
        </is>
      </c>
      <c r="I17" s="8" t="inlineStr">
        <is>
          <t>가나랜드 / 스마트스토어</t>
        </is>
      </c>
      <c r="J17" s="8" t="inlineStr">
        <is>
          <t>스마트스토어센터</t>
        </is>
      </c>
      <c r="K17" s="8" t="inlineStr">
        <is>
          <t>이란</t>
        </is>
      </c>
      <c r="L17" s="8" t="inlineStr">
        <is>
          <t>가나랜드</t>
        </is>
      </c>
      <c r="M17" s="8" t="inlineStr">
        <is>
          <t>상품등록 요청 내역</t>
        </is>
      </c>
      <c r="N17" s="8" t="inlineStr">
        <is>
          <t>주 1회</t>
        </is>
      </c>
      <c r="O17" s="8" t="inlineStr">
        <is>
          <t>정형(매뉴얼화 가능)</t>
        </is>
      </c>
      <c r="P17" s="8" t="inlineStr">
        <is>
          <t>예 - 확실히 중복</t>
        </is>
      </c>
      <c r="Q17" s="9" t="inlineStr">
        <is>
          <t>상품 마스터 DB 기준 채널 자동 등록</t>
        </is>
      </c>
    </row>
    <row r="18" ht="19.5" customHeight="1">
      <c r="A18" s="51">
        <f>IF($B$3="","",$B$3+0)</f>
        <v/>
      </c>
      <c r="B18" s="6" t="inlineStr">
        <is>
          <t>월</t>
        </is>
      </c>
      <c r="C18" s="52" t="n">
        <v>0.6458333333333334</v>
      </c>
      <c r="D18" s="52" t="n">
        <v>0.6666666666666666</v>
      </c>
      <c r="E18" s="5">
        <f>IF(OR(C18="",D18=""),"",(D18-C18)*1440)</f>
        <v/>
      </c>
      <c r="F18" s="8" t="inlineStr">
        <is>
          <t>제조·생산관리</t>
        </is>
      </c>
      <c r="G18" s="8" t="inlineStr">
        <is>
          <t>MFG-06 선적·입고 일정 관리</t>
        </is>
      </c>
      <c r="H18" s="9" t="inlineStr">
        <is>
          <t>신제품(외벽·슁글·목재·판넬) 생산완료 건 입고 요청(채림님께)</t>
        </is>
      </c>
      <c r="I18" s="8" t="inlineStr">
        <is>
          <t>신제품 4종</t>
        </is>
      </c>
      <c r="J18" s="8" t="inlineStr">
        <is>
          <t>POUR OS(업무보드)</t>
        </is>
      </c>
      <c r="K18" s="8" t="inlineStr">
        <is>
          <t>양채림</t>
        </is>
      </c>
      <c r="L18" s="8" t="inlineStr">
        <is>
          <t>생산공장</t>
        </is>
      </c>
      <c r="M18" s="8" t="inlineStr">
        <is>
          <t>입고 요청 내역</t>
        </is>
      </c>
      <c r="N18" s="8" t="inlineStr">
        <is>
          <t>주 1회</t>
        </is>
      </c>
      <c r="O18" s="8" t="inlineStr">
        <is>
          <t>정형(매뉴얼화 가능)</t>
        </is>
      </c>
      <c r="P18" s="8" t="inlineStr">
        <is>
          <t>아마도 중복</t>
        </is>
      </c>
      <c r="Q18" s="9" t="inlineStr">
        <is>
          <t>생산완료 → 입고요청 자동 알림 연동</t>
        </is>
      </c>
    </row>
    <row r="19" ht="19.5" customHeight="1">
      <c r="A19" s="51">
        <f>IF($B$3="","",$B$3+0)</f>
        <v/>
      </c>
      <c r="B19" s="6" t="inlineStr">
        <is>
          <t>월</t>
        </is>
      </c>
      <c r="C19" s="52" t="n">
        <v>0.6666666666666666</v>
      </c>
      <c r="D19" s="52" t="n">
        <v>0.6875</v>
      </c>
      <c r="E19" s="5">
        <f>IF(OR(C19="",D19=""),"",(D19-C19)*1440)</f>
        <v/>
      </c>
      <c r="F19" s="8" t="inlineStr">
        <is>
          <t>CS·물류·재고</t>
        </is>
      </c>
      <c r="G19" s="8" t="inlineStr">
        <is>
          <t>OPS-03 재고 현황 점검·발주 요청</t>
        </is>
      </c>
      <c r="H19" s="9" t="inlineStr">
        <is>
          <t>쿠팡 판매량 확인 및 재고부족 건 입고 요청 / 담당 인수인계 안내(채림님·란님)</t>
        </is>
      </c>
      <c r="I19" s="8" t="inlineStr">
        <is>
          <t>POUR스토어 / 쿠팡</t>
        </is>
      </c>
      <c r="J19" s="8" t="inlineStr">
        <is>
          <t>쿠팡 WING</t>
        </is>
      </c>
      <c r="K19" s="8" t="inlineStr">
        <is>
          <t>양채림, 이란</t>
        </is>
      </c>
      <c r="L19" s="8" t="n"/>
      <c r="M19" s="8" t="inlineStr">
        <is>
          <t>재고·입고 요청 내역</t>
        </is>
      </c>
      <c r="N19" s="8" t="inlineStr">
        <is>
          <t>매일</t>
        </is>
      </c>
      <c r="O19" s="8" t="inlineStr">
        <is>
          <t>정형(매뉴얼화 가능)</t>
        </is>
      </c>
      <c r="P19" s="8" t="inlineStr">
        <is>
          <t>예 - 확실히 중복</t>
        </is>
      </c>
      <c r="Q19" s="9" t="inlineStr">
        <is>
          <t>채널 재고 임계치 도달 시 자동 알림·발주 요청</t>
        </is>
      </c>
    </row>
    <row r="20" ht="19.5" customHeight="1">
      <c r="A20" s="51">
        <f>IF($B$3="","",$B$3+0)</f>
        <v/>
      </c>
      <c r="B20" s="6" t="inlineStr">
        <is>
          <t>월</t>
        </is>
      </c>
      <c r="C20" s="52" t="n">
        <v>0.6875</v>
      </c>
      <c r="D20" s="52" t="n">
        <v>0.7291666666666666</v>
      </c>
      <c r="E20" s="5">
        <f>IF(OR(C20="",D20=""),"",(D20-C20)*1440)</f>
        <v/>
      </c>
      <c r="F20" s="8" t="inlineStr">
        <is>
          <t>제조·생산관리</t>
        </is>
      </c>
      <c r="G20" s="8" t="inlineStr">
        <is>
          <t>MFG-08 MSDS·라벨 등 제품 표시사항 제작</t>
        </is>
      </c>
      <c r="H20" s="9" t="inlineStr">
        <is>
          <t>신제품 코트재 MSDS 컬러별 31개 제작 (세이고 → 쿠팡창고 발송 예정) — 진행중</t>
        </is>
      </c>
      <c r="I20" s="8" t="inlineStr">
        <is>
          <t>코트재 신제품 31색</t>
        </is>
      </c>
      <c r="J20" s="8" t="n"/>
      <c r="K20" s="8" t="n"/>
      <c r="L20" s="8" t="inlineStr">
        <is>
          <t>세이고, 쿠팡물류센터</t>
        </is>
      </c>
      <c r="M20" s="8" t="inlineStr">
        <is>
          <t>MSDS 31종</t>
        </is>
      </c>
      <c r="N20" s="8" t="inlineStr">
        <is>
          <t>1회성</t>
        </is>
      </c>
      <c r="O20" s="8" t="inlineStr">
        <is>
          <t>반정형</t>
        </is>
      </c>
      <c r="P20" s="8" t="inlineStr">
        <is>
          <t>아니오 - 우리팀 고유</t>
        </is>
      </c>
      <c r="Q20" s="9" t="inlineStr">
        <is>
          <t>품목·색상 데이터 연동으로 MSDS 서식 자동 생성</t>
        </is>
      </c>
    </row>
    <row r="21" ht="19.5" customHeight="1">
      <c r="A21" s="51">
        <f>IF($B$3="","",$B$3+0)</f>
        <v/>
      </c>
      <c r="B21" s="6" t="inlineStr">
        <is>
          <t>월</t>
        </is>
      </c>
      <c r="C21" s="52" t="n">
        <v>0.7291666666666666</v>
      </c>
      <c r="D21" s="52" t="n">
        <v>0.75</v>
      </c>
      <c r="E21" s="5">
        <f>IF(OR(C21="",D21=""),"",(D21-C21)*1440)</f>
        <v/>
      </c>
      <c r="F21" s="8" t="inlineStr">
        <is>
          <t>마케팅·광고운영</t>
        </is>
      </c>
      <c r="G21" s="8" t="inlineStr">
        <is>
          <t>MKT-04 인플루언서·체험단 섭외/관리</t>
        </is>
      </c>
      <c r="H21" s="9" t="inlineStr">
        <is>
          <t>퍼포먼스마케팅 인플루언서/셀러 협업 현황 확인 및 컨택 방안 피드백(채림님께)</t>
        </is>
      </c>
      <c r="I21" s="8" t="inlineStr">
        <is>
          <t>POUR스토어</t>
        </is>
      </c>
      <c r="J21" s="8" t="inlineStr">
        <is>
          <t>POUR OS(업무보드)</t>
        </is>
      </c>
      <c r="K21" s="8" t="inlineStr">
        <is>
          <t>양채림</t>
        </is>
      </c>
      <c r="L21" s="8" t="inlineStr">
        <is>
          <t>인플루언서·셀러</t>
        </is>
      </c>
      <c r="M21" s="8" t="inlineStr">
        <is>
          <t>협업 컨택 방안 피드백</t>
        </is>
      </c>
      <c r="N21" s="8" t="inlineStr">
        <is>
          <t>주 1회</t>
        </is>
      </c>
      <c r="O21" s="8" t="inlineStr">
        <is>
          <t>비정형(판단 필요)</t>
        </is>
      </c>
      <c r="P21" s="8" t="inlineStr">
        <is>
          <t>아마도 중복</t>
        </is>
      </c>
      <c r="Q21" s="9" t="inlineStr">
        <is>
          <t>인플루언서/셀러 컨택 이력 DB 공용화(중복 컨택 방지)</t>
        </is>
      </c>
    </row>
    <row r="22" ht="19.5" customHeight="1">
      <c r="A22" s="51">
        <f>IF($B$3="","",$B$3+0)</f>
        <v/>
      </c>
      <c r="B22" s="6" t="inlineStr">
        <is>
          <t>월</t>
        </is>
      </c>
      <c r="C22" s="52" t="n"/>
      <c r="D22" s="52" t="n"/>
      <c r="E22" s="5">
        <f>IF(OR(C22="",D22=""),"",(D22-C22)*1440)</f>
        <v/>
      </c>
      <c r="F22" s="8" t="n"/>
      <c r="G22" s="8" t="n"/>
      <c r="H22" s="9" t="n"/>
      <c r="I22" s="8" t="n"/>
      <c r="J22" s="8" t="n"/>
      <c r="K22" s="8" t="n"/>
      <c r="L22" s="8" t="n"/>
      <c r="M22" s="8" t="n"/>
      <c r="N22" s="8" t="n"/>
      <c r="O22" s="8" t="n"/>
      <c r="P22" s="8" t="n"/>
      <c r="Q22" s="9" t="n"/>
    </row>
    <row r="23" ht="19.5" customHeight="1">
      <c r="A23" s="51">
        <f>IF($B$3="","",$B$3+0)</f>
        <v/>
      </c>
      <c r="B23" s="6" t="inlineStr">
        <is>
          <t>월</t>
        </is>
      </c>
      <c r="C23" s="52" t="n"/>
      <c r="D23" s="52" t="n"/>
      <c r="E23" s="5">
        <f>IF(OR(C23="",D23=""),"",(D23-C23)*1440)</f>
        <v/>
      </c>
      <c r="F23" s="8" t="n"/>
      <c r="G23" s="8" t="n"/>
      <c r="H23" s="9" t="n"/>
      <c r="I23" s="8" t="n"/>
      <c r="J23" s="8" t="n"/>
      <c r="K23" s="8" t="n"/>
      <c r="L23" s="8" t="n"/>
      <c r="M23" s="8" t="n"/>
      <c r="N23" s="8" t="n"/>
      <c r="O23" s="8" t="n"/>
      <c r="P23" s="8" t="n"/>
      <c r="Q23" s="9" t="n"/>
    </row>
    <row r="24" ht="19.5" customHeight="1">
      <c r="A24" s="51">
        <f>IF($B$3="","",$B$3+0)</f>
        <v/>
      </c>
      <c r="B24" s="6" t="inlineStr">
        <is>
          <t>월</t>
        </is>
      </c>
      <c r="C24" s="52" t="n"/>
      <c r="D24" s="52" t="n"/>
      <c r="E24" s="5">
        <f>IF(OR(C24="",D24=""),"",(D24-C24)*1440)</f>
        <v/>
      </c>
      <c r="F24" s="8" t="n"/>
      <c r="G24" s="8" t="n"/>
      <c r="H24" s="9" t="n"/>
      <c r="I24" s="8" t="n"/>
      <c r="J24" s="8" t="n"/>
      <c r="K24" s="8" t="n"/>
      <c r="L24" s="8" t="n"/>
      <c r="M24" s="8" t="n"/>
      <c r="N24" s="8" t="n"/>
      <c r="O24" s="8" t="n"/>
      <c r="P24" s="8" t="n"/>
      <c r="Q24" s="9" t="n"/>
    </row>
    <row r="25" ht="19.5" customHeight="1">
      <c r="A25" s="51">
        <f>IF($B$3="","",$B$3+0)</f>
        <v/>
      </c>
      <c r="B25" s="6" t="inlineStr">
        <is>
          <t>월</t>
        </is>
      </c>
      <c r="C25" s="52" t="n"/>
      <c r="D25" s="52" t="n"/>
      <c r="E25" s="5">
        <f>IF(OR(C25="",D25=""),"",(D25-C25)*1440)</f>
        <v/>
      </c>
      <c r="F25" s="8" t="n"/>
      <c r="G25" s="8" t="n"/>
      <c r="H25" s="9" t="n"/>
      <c r="I25" s="8" t="n"/>
      <c r="J25" s="8" t="n"/>
      <c r="K25" s="8" t="n"/>
      <c r="L25" s="8" t="n"/>
      <c r="M25" s="8" t="n"/>
      <c r="N25" s="8" t="n"/>
      <c r="O25" s="8" t="n"/>
      <c r="P25" s="8" t="n"/>
      <c r="Q25" s="9" t="n"/>
    </row>
    <row r="26" ht="19.5" customHeight="1">
      <c r="A26" s="51">
        <f>IF($B$3="","",$B$3+0)</f>
        <v/>
      </c>
      <c r="B26" s="6" t="inlineStr">
        <is>
          <t>월(추가)</t>
        </is>
      </c>
      <c r="C26" s="52" t="n"/>
      <c r="D26" s="52" t="n"/>
      <c r="E26" s="5">
        <f>IF(OR(C26="",D26=""),"",(D26-C26)*1440)</f>
        <v/>
      </c>
      <c r="F26" s="8" t="n"/>
      <c r="G26" s="8" t="n"/>
      <c r="H26" s="9" t="n"/>
      <c r="I26" s="8" t="n"/>
      <c r="J26" s="8" t="n"/>
      <c r="K26" s="8" t="n"/>
      <c r="L26" s="8" t="n"/>
      <c r="M26" s="8" t="n"/>
      <c r="N26" s="8" t="n"/>
      <c r="O26" s="8" t="n"/>
      <c r="P26" s="8" t="n"/>
      <c r="Q26" s="9" t="n"/>
    </row>
    <row r="27" ht="19.5" customHeight="1">
      <c r="A27" s="51">
        <f>IF($B$3="","",$B$3+0)</f>
        <v/>
      </c>
      <c r="B27" s="6" t="inlineStr">
        <is>
          <t>월(추가)</t>
        </is>
      </c>
      <c r="C27" s="52" t="n"/>
      <c r="D27" s="52" t="n"/>
      <c r="E27" s="5">
        <f>IF(OR(C27="",D27=""),"",(D27-C27)*1440)</f>
        <v/>
      </c>
      <c r="F27" s="8" t="n"/>
      <c r="G27" s="8" t="n"/>
      <c r="H27" s="9" t="n"/>
      <c r="I27" s="8" t="n"/>
      <c r="J27" s="8" t="n"/>
      <c r="K27" s="8" t="n"/>
      <c r="L27" s="8" t="n"/>
      <c r="M27" s="8" t="n"/>
      <c r="N27" s="8" t="n"/>
      <c r="O27" s="8" t="n"/>
      <c r="P27" s="8" t="n"/>
      <c r="Q27" s="9" t="n"/>
    </row>
    <row r="28" ht="19.5" customHeight="1">
      <c r="A28" s="51">
        <f>IF($B$3="","",$B$3+1)</f>
        <v/>
      </c>
      <c r="B28" s="6" t="inlineStr">
        <is>
          <t>화</t>
        </is>
      </c>
      <c r="C28" s="52" t="n">
        <v>0.375</v>
      </c>
      <c r="D28" s="52" t="n">
        <v>0.3958333333333333</v>
      </c>
      <c r="E28" s="5">
        <f>IF(OR(C28="",D28=""),"",(D28-C28)*1440)</f>
        <v/>
      </c>
      <c r="F28" s="8" t="inlineStr">
        <is>
          <t>기타·행정</t>
        </is>
      </c>
      <c r="G28" s="8" t="inlineStr">
        <is>
          <t>ETC-01 메일·메신저 확인 및 회신</t>
        </is>
      </c>
      <c r="H28" s="9" t="inlineStr">
        <is>
          <t>출근 후 메일·메신저·업무보드 확인 및 회신</t>
        </is>
      </c>
      <c r="I28" s="8" t="inlineStr">
        <is>
          <t>전사</t>
        </is>
      </c>
      <c r="J28" s="8" t="inlineStr">
        <is>
          <t>POUR OS(업무보드)</t>
        </is>
      </c>
      <c r="K28" s="8" t="n"/>
      <c r="L28" s="8" t="n"/>
      <c r="M28" s="8" t="inlineStr">
        <is>
          <t>회신 처리</t>
        </is>
      </c>
      <c r="N28" s="8" t="inlineStr">
        <is>
          <t>매일</t>
        </is>
      </c>
      <c r="O28" s="8" t="inlineStr">
        <is>
          <t>정형(매뉴얼화 가능)</t>
        </is>
      </c>
      <c r="P28" s="8" t="inlineStr">
        <is>
          <t>예 - 확실히 중복</t>
        </is>
      </c>
      <c r="Q28" s="9" t="inlineStr">
        <is>
          <t>팀별 요청·공지를 업무보드 알림 하나로 일원화</t>
        </is>
      </c>
    </row>
    <row r="29" ht="19.5" customHeight="1">
      <c r="A29" s="51">
        <f>IF($B$3="","",$B$3+1)</f>
        <v/>
      </c>
      <c r="B29" s="6" t="inlineStr">
        <is>
          <t>화</t>
        </is>
      </c>
      <c r="C29" s="52" t="n">
        <v>0.3958333333333333</v>
      </c>
      <c r="D29" s="52" t="n">
        <v>0.4583333333333333</v>
      </c>
      <c r="E29" s="5">
        <f>IF(OR(C29="",D29=""),"",(D29-C29)*1440)</f>
        <v/>
      </c>
      <c r="F29" s="8" t="inlineStr">
        <is>
          <t>기획·보고·회의</t>
        </is>
      </c>
      <c r="G29" s="8" t="inlineStr">
        <is>
          <t>MGT-01 팀 내부 회의</t>
        </is>
      </c>
      <c r="H29" s="9" t="inlineStr">
        <is>
          <t>모여라딜 피봇팅 방향 논의 및 정하님 업무 진행방향 미팅</t>
        </is>
      </c>
      <c r="I29" s="8" t="inlineStr">
        <is>
          <t>모여라딜</t>
        </is>
      </c>
      <c r="J29" s="8" t="inlineStr">
        <is>
          <t>POUR OS(업무보드)</t>
        </is>
      </c>
      <c r="K29" s="8" t="inlineStr">
        <is>
          <t>정하</t>
        </is>
      </c>
      <c r="L29" s="8" t="n"/>
      <c r="M29" s="8" t="inlineStr">
        <is>
          <t>미팅 결과·업무 방향 메모</t>
        </is>
      </c>
      <c r="N29" s="8" t="inlineStr">
        <is>
          <t>주 1회</t>
        </is>
      </c>
      <c r="O29" s="8" t="inlineStr">
        <is>
          <t>비정형(판단 필요)</t>
        </is>
      </c>
      <c r="P29" s="8" t="inlineStr">
        <is>
          <t>모름</t>
        </is>
      </c>
      <c r="Q29" s="9" t="inlineStr">
        <is>
          <t>논의 결과를 업무보드 프로젝트 카드로 즉시 반영</t>
        </is>
      </c>
    </row>
    <row r="30" ht="19.5" customHeight="1">
      <c r="A30" s="51">
        <f>IF($B$3="","",$B$3+1)</f>
        <v/>
      </c>
      <c r="B30" s="6" t="inlineStr">
        <is>
          <t>화</t>
        </is>
      </c>
      <c r="C30" s="52" t="n">
        <v>0.4583333333333333</v>
      </c>
      <c r="D30" s="52" t="n">
        <v>0.5</v>
      </c>
      <c r="E30" s="5">
        <f>IF(OR(C30="",D30=""),"",(D30-C30)*1440)</f>
        <v/>
      </c>
      <c r="F30" s="8" t="inlineStr">
        <is>
          <t>마케팅·광고운영</t>
        </is>
      </c>
      <c r="G30" s="8" t="inlineStr">
        <is>
          <t>MKT-04 인플루언서·체험단 섭외/관리</t>
        </is>
      </c>
      <c r="H30" s="9" t="inlineStr">
        <is>
          <t>채림님 인플루언서 협업마케팅 진행방향 안내 및 진행안 컨펌</t>
        </is>
      </c>
      <c r="I30" s="8" t="inlineStr">
        <is>
          <t>POUR스토어</t>
        </is>
      </c>
      <c r="J30" s="8" t="inlineStr">
        <is>
          <t>POUR OS(업무보드)</t>
        </is>
      </c>
      <c r="K30" s="8" t="inlineStr">
        <is>
          <t>양채림</t>
        </is>
      </c>
      <c r="L30" s="8" t="inlineStr">
        <is>
          <t>인플루언서</t>
        </is>
      </c>
      <c r="M30" s="8" t="inlineStr">
        <is>
          <t>협업 진행안 컨펌</t>
        </is>
      </c>
      <c r="N30" s="8" t="inlineStr">
        <is>
          <t>주 1회</t>
        </is>
      </c>
      <c r="O30" s="8" t="inlineStr">
        <is>
          <t>비정형(판단 필요)</t>
        </is>
      </c>
      <c r="P30" s="8" t="inlineStr">
        <is>
          <t>아마도 중복</t>
        </is>
      </c>
      <c r="Q30" s="9" t="inlineStr">
        <is>
          <t>인플루언서 협업 진행 기준(가이드) 문서화 후 위임</t>
        </is>
      </c>
    </row>
    <row r="31" ht="19.5" customHeight="1">
      <c r="A31" s="51">
        <f>IF($B$3="","",$B$3+1)</f>
        <v/>
      </c>
      <c r="B31" s="6" t="inlineStr">
        <is>
          <t>화</t>
        </is>
      </c>
      <c r="C31" s="52" t="n">
        <v>0.5</v>
      </c>
      <c r="D31" s="52" t="n">
        <v>0.5416666666666666</v>
      </c>
      <c r="E31" s="5">
        <f>IF(OR(C31="",D31=""),"",(D31-C31)*1440)</f>
        <v/>
      </c>
      <c r="F31" s="8" t="inlineStr">
        <is>
          <t>기타·행정</t>
        </is>
      </c>
      <c r="G31" s="8" t="inlineStr">
        <is>
          <t>ETC-05 휴게·점심</t>
        </is>
      </c>
      <c r="H31" s="9" t="inlineStr">
        <is>
          <t>점심 및 휴게</t>
        </is>
      </c>
      <c r="I31" s="8" t="n"/>
      <c r="J31" s="8" t="n"/>
      <c r="K31" s="8" t="n"/>
      <c r="L31" s="8" t="n"/>
      <c r="M31" s="8" t="n"/>
      <c r="N31" s="8" t="inlineStr">
        <is>
          <t>매일</t>
        </is>
      </c>
      <c r="O31" s="8" t="inlineStr">
        <is>
          <t>정형(매뉴얼화 가능)</t>
        </is>
      </c>
      <c r="P31" s="8" t="inlineStr">
        <is>
          <t>예 - 확실히 중복</t>
        </is>
      </c>
      <c r="Q31" s="9" t="n"/>
    </row>
    <row r="32" ht="19.5" customHeight="1">
      <c r="A32" s="51">
        <f>IF($B$3="","",$B$3+1)</f>
        <v/>
      </c>
      <c r="B32" s="6" t="inlineStr">
        <is>
          <t>화</t>
        </is>
      </c>
      <c r="C32" s="52" t="n">
        <v>0.5416666666666666</v>
      </c>
      <c r="D32" s="52" t="n">
        <v>0.5833333333333334</v>
      </c>
      <c r="E32" s="5">
        <f>IF(OR(C32="",D32=""),"",(D32-C32)*1440)</f>
        <v/>
      </c>
      <c r="F32" s="8" t="inlineStr">
        <is>
          <t>사내시스템·자동화</t>
        </is>
      </c>
      <c r="G32" s="8" t="inlineStr">
        <is>
          <t>SYS-01 사내 시스템·앱 기획/개선 요청</t>
        </is>
      </c>
      <c r="H32" s="9" t="inlineStr">
        <is>
          <t>소싱앱 UX/UI 개선 — 정하님 추가 고도화 건 2차 피드백</t>
        </is>
      </c>
      <c r="I32" s="8" t="inlineStr">
        <is>
          <t>소싱앱</t>
        </is>
      </c>
      <c r="J32" s="8" t="inlineStr">
        <is>
          <t>소싱앱</t>
        </is>
      </c>
      <c r="K32" s="8" t="inlineStr">
        <is>
          <t>정하</t>
        </is>
      </c>
      <c r="L32" s="8" t="n"/>
      <c r="M32" s="8" t="inlineStr">
        <is>
          <t>UX/UI 2차 피드백</t>
        </is>
      </c>
      <c r="N32" s="8" t="inlineStr">
        <is>
          <t>주 2~3회</t>
        </is>
      </c>
      <c r="O32" s="8" t="inlineStr">
        <is>
          <t>비정형(판단 필요)</t>
        </is>
      </c>
      <c r="P32" s="8" t="inlineStr">
        <is>
          <t>모름</t>
        </is>
      </c>
      <c r="Q32" s="9" t="inlineStr">
        <is>
          <t>개선 요청·피드백 이력을 앱 내 이슈보드로 관리</t>
        </is>
      </c>
    </row>
    <row r="33" ht="19.5" customHeight="1">
      <c r="A33" s="51">
        <f>IF($B$3="","",$B$3+1)</f>
        <v/>
      </c>
      <c r="B33" s="6" t="inlineStr">
        <is>
          <t>화</t>
        </is>
      </c>
      <c r="C33" s="52" t="n">
        <v>0.5833333333333334</v>
      </c>
      <c r="D33" s="52" t="n">
        <v>0.625</v>
      </c>
      <c r="E33" s="5">
        <f>IF(OR(C33="",D33=""),"",(D33-C33)*1440)</f>
        <v/>
      </c>
      <c r="F33" s="8" t="inlineStr">
        <is>
          <t>상품기획·소싱</t>
        </is>
      </c>
      <c r="G33" s="8" t="inlineStr">
        <is>
          <t>PLN-01 신상품 아이템 발굴/시장조사</t>
        </is>
      </c>
      <c r="H33" s="9" t="inlineStr">
        <is>
          <t>본품 외 부자재·안전용품 등 판매 세팅 검토 — 우선순위 재조정으로 보류</t>
        </is>
      </c>
      <c r="I33" s="8" t="inlineStr">
        <is>
          <t>부자재·안전용품</t>
        </is>
      </c>
      <c r="J33" s="8" t="n"/>
      <c r="K33" s="8" t="n"/>
      <c r="L33" s="8" t="n"/>
      <c r="M33" s="8" t="inlineStr">
        <is>
          <t>판매 세팅 검토안(보류)</t>
        </is>
      </c>
      <c r="N33" s="8" t="inlineStr">
        <is>
          <t>분기/비정기</t>
        </is>
      </c>
      <c r="O33" s="8" t="inlineStr">
        <is>
          <t>비정형(판단 필요)</t>
        </is>
      </c>
      <c r="P33" s="8" t="inlineStr">
        <is>
          <t>아마도 중복</t>
        </is>
      </c>
      <c r="Q33" s="9" t="inlineStr">
        <is>
          <t>부자재 카테고리 소싱 기준 정립 후 일괄 세팅</t>
        </is>
      </c>
    </row>
    <row r="34" ht="19.5" customHeight="1">
      <c r="A34" s="51">
        <f>IF($B$3="","",$B$3+1)</f>
        <v/>
      </c>
      <c r="B34" s="6" t="inlineStr">
        <is>
          <t>화</t>
        </is>
      </c>
      <c r="C34" s="52" t="n">
        <v>0.625</v>
      </c>
      <c r="D34" s="52" t="n">
        <v>0.7083333333333334</v>
      </c>
      <c r="E34" s="5">
        <f>IF(OR(C34="",D34=""),"",(D34-C34)*1440)</f>
        <v/>
      </c>
      <c r="F34" s="8" t="inlineStr">
        <is>
          <t>데이터·정산</t>
        </is>
      </c>
      <c r="G34" s="8" t="inlineStr">
        <is>
          <t>DAT-04 리포트·대시보드 작성</t>
        </is>
      </c>
      <c r="H34" s="9" t="inlineStr">
        <is>
          <t>POUR스토어 단가·공헌이익·손익계산 대시보드 제작 — 진행중(전주 이월)</t>
        </is>
      </c>
      <c r="I34" s="8" t="inlineStr">
        <is>
          <t>POUR스토어</t>
        </is>
      </c>
      <c r="J34" s="8" t="inlineStr">
        <is>
          <t>단가 대시보드, 엑셀</t>
        </is>
      </c>
      <c r="K34" s="8" t="n"/>
      <c r="L34" s="8" t="n"/>
      <c r="M34" s="8" t="inlineStr">
        <is>
          <t>단가·공헌이익·손익 대시보드</t>
        </is>
      </c>
      <c r="N34" s="8" t="inlineStr">
        <is>
          <t>주 2~3회</t>
        </is>
      </c>
      <c r="O34" s="8" t="inlineStr">
        <is>
          <t>비정형(판단 필요)</t>
        </is>
      </c>
      <c r="P34" s="8" t="inlineStr">
        <is>
          <t>아마도 중복</t>
        </is>
      </c>
      <c r="Q34" s="9" t="inlineStr">
        <is>
          <t>채널 수수료·원가 데이터 자동 연동으로 수기 입력 제거</t>
        </is>
      </c>
    </row>
    <row r="35" ht="19.5" customHeight="1">
      <c r="A35" s="51">
        <f>IF($B$3="","",$B$3+1)</f>
        <v/>
      </c>
      <c r="B35" s="6" t="inlineStr">
        <is>
          <t>화</t>
        </is>
      </c>
      <c r="C35" s="52" t="n">
        <v>0.7083333333333334</v>
      </c>
      <c r="D35" s="52" t="n">
        <v>0.75</v>
      </c>
      <c r="E35" s="5">
        <f>IF(OR(C35="",D35=""),"",(D35-C35)*1440)</f>
        <v/>
      </c>
      <c r="F35" s="8" t="inlineStr">
        <is>
          <t>제조·생산관리</t>
        </is>
      </c>
      <c r="G35" s="8" t="inlineStr">
        <is>
          <t>MFG-08 MSDS·라벨 등 제품 표시사항 제작</t>
        </is>
      </c>
      <c r="H35" s="9" t="inlineStr">
        <is>
          <t>신제품 코트재 MSDS 컬러별 31개 제작 — 진행중</t>
        </is>
      </c>
      <c r="I35" s="8" t="inlineStr">
        <is>
          <t>코트재 신제품 31색</t>
        </is>
      </c>
      <c r="J35" s="8" t="n"/>
      <c r="K35" s="8" t="n"/>
      <c r="L35" s="8" t="inlineStr">
        <is>
          <t>세이고, 쿠팡물류센터</t>
        </is>
      </c>
      <c r="M35" s="8" t="inlineStr">
        <is>
          <t>MSDS 31종</t>
        </is>
      </c>
      <c r="N35" s="8" t="inlineStr">
        <is>
          <t>1회성</t>
        </is>
      </c>
      <c r="O35" s="8" t="inlineStr">
        <is>
          <t>반정형</t>
        </is>
      </c>
      <c r="P35" s="8" t="inlineStr">
        <is>
          <t>아니오 - 우리팀 고유</t>
        </is>
      </c>
      <c r="Q35" s="9" t="inlineStr">
        <is>
          <t>품목·색상 데이터 연동으로 MSDS 서식 자동 생성</t>
        </is>
      </c>
    </row>
    <row r="36" ht="19.5" customHeight="1">
      <c r="A36" s="51">
        <f>IF($B$3="","",$B$3+1)</f>
        <v/>
      </c>
      <c r="B36" s="6" t="inlineStr">
        <is>
          <t>화</t>
        </is>
      </c>
      <c r="C36" s="52" t="n"/>
      <c r="D36" s="52" t="n"/>
      <c r="E36" s="5">
        <f>IF(OR(C36="",D36=""),"",(D36-C36)*1440)</f>
        <v/>
      </c>
      <c r="F36" s="8" t="n"/>
      <c r="G36" s="8" t="n"/>
      <c r="H36" s="9" t="n"/>
      <c r="I36" s="8" t="n"/>
      <c r="J36" s="8" t="n"/>
      <c r="K36" s="8" t="n"/>
      <c r="L36" s="8" t="n"/>
      <c r="M36" s="8" t="n"/>
      <c r="N36" s="8" t="n"/>
      <c r="O36" s="8" t="n"/>
      <c r="P36" s="8" t="n"/>
      <c r="Q36" s="9" t="n"/>
    </row>
    <row r="37" ht="19.5" customHeight="1">
      <c r="A37" s="51">
        <f>IF($B$3="","",$B$3+1)</f>
        <v/>
      </c>
      <c r="B37" s="6" t="inlineStr">
        <is>
          <t>화</t>
        </is>
      </c>
      <c r="C37" s="52" t="n"/>
      <c r="D37" s="52" t="n"/>
      <c r="E37" s="5">
        <f>IF(OR(C37="",D37=""),"",(D37-C37)*1440)</f>
        <v/>
      </c>
      <c r="F37" s="8" t="n"/>
      <c r="G37" s="8" t="n"/>
      <c r="H37" s="9" t="n"/>
      <c r="I37" s="8" t="n"/>
      <c r="J37" s="8" t="n"/>
      <c r="K37" s="8" t="n"/>
      <c r="L37" s="8" t="n"/>
      <c r="M37" s="8" t="n"/>
      <c r="N37" s="8" t="n"/>
      <c r="O37" s="8" t="n"/>
      <c r="P37" s="8" t="n"/>
      <c r="Q37" s="9" t="n"/>
    </row>
    <row r="38" ht="19.5" customHeight="1">
      <c r="A38" s="51">
        <f>IF($B$3="","",$B$3+1)</f>
        <v/>
      </c>
      <c r="B38" s="6" t="inlineStr">
        <is>
          <t>화</t>
        </is>
      </c>
      <c r="C38" s="52" t="n"/>
      <c r="D38" s="52" t="n"/>
      <c r="E38" s="5">
        <f>IF(OR(C38="",D38=""),"",(D38-C38)*1440)</f>
        <v/>
      </c>
      <c r="F38" s="8" t="n"/>
      <c r="G38" s="8" t="n"/>
      <c r="H38" s="9" t="n"/>
      <c r="I38" s="8" t="n"/>
      <c r="J38" s="8" t="n"/>
      <c r="K38" s="8" t="n"/>
      <c r="L38" s="8" t="n"/>
      <c r="M38" s="8" t="n"/>
      <c r="N38" s="8" t="n"/>
      <c r="O38" s="8" t="n"/>
      <c r="P38" s="8" t="n"/>
      <c r="Q38" s="9" t="n"/>
    </row>
    <row r="39" ht="19.5" customHeight="1">
      <c r="A39" s="51">
        <f>IF($B$3="","",$B$3+1)</f>
        <v/>
      </c>
      <c r="B39" s="6" t="inlineStr">
        <is>
          <t>화</t>
        </is>
      </c>
      <c r="C39" s="52" t="n"/>
      <c r="D39" s="52" t="n"/>
      <c r="E39" s="5">
        <f>IF(OR(C39="",D39=""),"",(D39-C39)*1440)</f>
        <v/>
      </c>
      <c r="F39" s="8" t="n"/>
      <c r="G39" s="8" t="n"/>
      <c r="H39" s="9" t="n"/>
      <c r="I39" s="8" t="n"/>
      <c r="J39" s="8" t="n"/>
      <c r="K39" s="8" t="n"/>
      <c r="L39" s="8" t="n"/>
      <c r="M39" s="8" t="n"/>
      <c r="N39" s="8" t="n"/>
      <c r="O39" s="8" t="n"/>
      <c r="P39" s="8" t="n"/>
      <c r="Q39" s="9" t="n"/>
    </row>
    <row r="40" ht="19.5" customHeight="1">
      <c r="A40" s="51">
        <f>IF($B$3="","",$B$3+1)</f>
        <v/>
      </c>
      <c r="B40" s="6" t="inlineStr">
        <is>
          <t>화</t>
        </is>
      </c>
      <c r="C40" s="52" t="n"/>
      <c r="D40" s="52" t="n"/>
      <c r="E40" s="5">
        <f>IF(OR(C40="",D40=""),"",(D40-C40)*1440)</f>
        <v/>
      </c>
      <c r="F40" s="8" t="n"/>
      <c r="G40" s="8" t="n"/>
      <c r="H40" s="9" t="n"/>
      <c r="I40" s="8" t="n"/>
      <c r="J40" s="8" t="n"/>
      <c r="K40" s="8" t="n"/>
      <c r="L40" s="8" t="n"/>
      <c r="M40" s="8" t="n"/>
      <c r="N40" s="8" t="n"/>
      <c r="O40" s="8" t="n"/>
      <c r="P40" s="8" t="n"/>
      <c r="Q40" s="9" t="n"/>
    </row>
    <row r="41" ht="19.5" customHeight="1">
      <c r="A41" s="51">
        <f>IF($B$3="","",$B$3+1)</f>
        <v/>
      </c>
      <c r="B41" s="6" t="inlineStr">
        <is>
          <t>화</t>
        </is>
      </c>
      <c r="C41" s="52" t="n"/>
      <c r="D41" s="52" t="n"/>
      <c r="E41" s="5">
        <f>IF(OR(C41="",D41=""),"",(D41-C41)*1440)</f>
        <v/>
      </c>
      <c r="F41" s="8" t="n"/>
      <c r="G41" s="8" t="n"/>
      <c r="H41" s="9" t="n"/>
      <c r="I41" s="8" t="n"/>
      <c r="J41" s="8" t="n"/>
      <c r="K41" s="8" t="n"/>
      <c r="L41" s="8" t="n"/>
      <c r="M41" s="8" t="n"/>
      <c r="N41" s="8" t="n"/>
      <c r="O41" s="8" t="n"/>
      <c r="P41" s="8" t="n"/>
      <c r="Q41" s="9" t="n"/>
    </row>
    <row r="42" ht="19.5" customHeight="1">
      <c r="A42" s="51">
        <f>IF($B$3="","",$B$3+1)</f>
        <v/>
      </c>
      <c r="B42" s="6" t="inlineStr">
        <is>
          <t>화</t>
        </is>
      </c>
      <c r="C42" s="52" t="n"/>
      <c r="D42" s="52" t="n"/>
      <c r="E42" s="5">
        <f>IF(OR(C42="",D42=""),"",(D42-C42)*1440)</f>
        <v/>
      </c>
      <c r="F42" s="8" t="n"/>
      <c r="G42" s="8" t="n"/>
      <c r="H42" s="9" t="n"/>
      <c r="I42" s="8" t="n"/>
      <c r="J42" s="8" t="n"/>
      <c r="K42" s="8" t="n"/>
      <c r="L42" s="8" t="n"/>
      <c r="M42" s="8" t="n"/>
      <c r="N42" s="8" t="n"/>
      <c r="O42" s="8" t="n"/>
      <c r="P42" s="8" t="n"/>
      <c r="Q42" s="9" t="n"/>
    </row>
    <row r="43" ht="19.5" customHeight="1">
      <c r="A43" s="51">
        <f>IF($B$3="","",$B$3+1)</f>
        <v/>
      </c>
      <c r="B43" s="6" t="inlineStr">
        <is>
          <t>화</t>
        </is>
      </c>
      <c r="C43" s="52" t="n"/>
      <c r="D43" s="52" t="n"/>
      <c r="E43" s="5">
        <f>IF(OR(C43="",D43=""),"",(D43-C43)*1440)</f>
        <v/>
      </c>
      <c r="F43" s="8" t="n"/>
      <c r="G43" s="8" t="n"/>
      <c r="H43" s="9" t="n"/>
      <c r="I43" s="8" t="n"/>
      <c r="J43" s="8" t="n"/>
      <c r="K43" s="8" t="n"/>
      <c r="L43" s="8" t="n"/>
      <c r="M43" s="8" t="n"/>
      <c r="N43" s="8" t="n"/>
      <c r="O43" s="8" t="n"/>
      <c r="P43" s="8" t="n"/>
      <c r="Q43" s="9" t="n"/>
    </row>
    <row r="44" ht="19.5" customHeight="1">
      <c r="A44" s="51">
        <f>IF($B$3="","",$B$3+1)</f>
        <v/>
      </c>
      <c r="B44" s="6" t="inlineStr">
        <is>
          <t>화</t>
        </is>
      </c>
      <c r="C44" s="52" t="n"/>
      <c r="D44" s="52" t="n"/>
      <c r="E44" s="5">
        <f>IF(OR(C44="",D44=""),"",(D44-C44)*1440)</f>
        <v/>
      </c>
      <c r="F44" s="8" t="n"/>
      <c r="G44" s="8" t="n"/>
      <c r="H44" s="9" t="n"/>
      <c r="I44" s="8" t="n"/>
      <c r="J44" s="8" t="n"/>
      <c r="K44" s="8" t="n"/>
      <c r="L44" s="8" t="n"/>
      <c r="M44" s="8" t="n"/>
      <c r="N44" s="8" t="n"/>
      <c r="O44" s="8" t="n"/>
      <c r="P44" s="8" t="n"/>
      <c r="Q44" s="9" t="n"/>
    </row>
    <row r="45" ht="19.5" customHeight="1">
      <c r="A45" s="51">
        <f>IF($B$3="","",$B$3+1)</f>
        <v/>
      </c>
      <c r="B45" s="6" t="inlineStr">
        <is>
          <t>화</t>
        </is>
      </c>
      <c r="C45" s="52" t="n"/>
      <c r="D45" s="52" t="n"/>
      <c r="E45" s="5">
        <f>IF(OR(C45="",D45=""),"",(D45-C45)*1440)</f>
        <v/>
      </c>
      <c r="F45" s="8" t="n"/>
      <c r="G45" s="8" t="n"/>
      <c r="H45" s="9" t="n"/>
      <c r="I45" s="8" t="n"/>
      <c r="J45" s="8" t="n"/>
      <c r="K45" s="8" t="n"/>
      <c r="L45" s="8" t="n"/>
      <c r="M45" s="8" t="n"/>
      <c r="N45" s="8" t="n"/>
      <c r="O45" s="8" t="n"/>
      <c r="P45" s="8" t="n"/>
      <c r="Q45" s="9" t="n"/>
    </row>
    <row r="46" ht="19.5" customHeight="1">
      <c r="A46" s="51">
        <f>IF($B$3="","",$B$3+1)</f>
        <v/>
      </c>
      <c r="B46" s="6" t="inlineStr">
        <is>
          <t>화(추가)</t>
        </is>
      </c>
      <c r="C46" s="52" t="n"/>
      <c r="D46" s="52" t="n"/>
      <c r="E46" s="5">
        <f>IF(OR(C46="",D46=""),"",(D46-C46)*1440)</f>
        <v/>
      </c>
      <c r="F46" s="8" t="n"/>
      <c r="G46" s="8" t="n"/>
      <c r="H46" s="9" t="n"/>
      <c r="I46" s="8" t="n"/>
      <c r="J46" s="8" t="n"/>
      <c r="K46" s="8" t="n"/>
      <c r="L46" s="8" t="n"/>
      <c r="M46" s="8" t="n"/>
      <c r="N46" s="8" t="n"/>
      <c r="O46" s="8" t="n"/>
      <c r="P46" s="8" t="n"/>
      <c r="Q46" s="9" t="n"/>
    </row>
    <row r="47" ht="19.5" customHeight="1">
      <c r="A47" s="51">
        <f>IF($B$3="","",$B$3+1)</f>
        <v/>
      </c>
      <c r="B47" s="6" t="inlineStr">
        <is>
          <t>화(추가)</t>
        </is>
      </c>
      <c r="C47" s="52" t="n"/>
      <c r="D47" s="52" t="n"/>
      <c r="E47" s="5">
        <f>IF(OR(C47="",D47=""),"",(D47-C47)*1440)</f>
        <v/>
      </c>
      <c r="F47" s="8" t="n"/>
      <c r="G47" s="8" t="n"/>
      <c r="H47" s="9" t="n"/>
      <c r="I47" s="8" t="n"/>
      <c r="J47" s="8" t="n"/>
      <c r="K47" s="8" t="n"/>
      <c r="L47" s="8" t="n"/>
      <c r="M47" s="8" t="n"/>
      <c r="N47" s="8" t="n"/>
      <c r="O47" s="8" t="n"/>
      <c r="P47" s="8" t="n"/>
      <c r="Q47" s="9" t="n"/>
    </row>
    <row r="48" ht="19.5" customHeight="1">
      <c r="A48" s="51">
        <f>IF($B$3="","",$B$3+2)</f>
        <v/>
      </c>
      <c r="B48" s="6" t="inlineStr">
        <is>
          <t>수</t>
        </is>
      </c>
      <c r="C48" s="52" t="n">
        <v>0.375</v>
      </c>
      <c r="D48" s="52" t="n">
        <v>0.3958333333333333</v>
      </c>
      <c r="E48" s="5">
        <f>IF(OR(C48="",D48=""),"",(D48-C48)*1440)</f>
        <v/>
      </c>
      <c r="F48" s="8" t="inlineStr">
        <is>
          <t>기타·행정</t>
        </is>
      </c>
      <c r="G48" s="8" t="inlineStr">
        <is>
          <t>ETC-01 메일·메신저 확인 및 회신</t>
        </is>
      </c>
      <c r="H48" s="9" t="inlineStr">
        <is>
          <t>출근 후 메일·메신저·업무보드 확인 및 회신</t>
        </is>
      </c>
      <c r="I48" s="8" t="inlineStr">
        <is>
          <t>전사</t>
        </is>
      </c>
      <c r="J48" s="8" t="inlineStr">
        <is>
          <t>POUR OS(업무보드)</t>
        </is>
      </c>
      <c r="K48" s="8" t="n"/>
      <c r="L48" s="8" t="n"/>
      <c r="M48" s="8" t="inlineStr">
        <is>
          <t>회신 처리</t>
        </is>
      </c>
      <c r="N48" s="8" t="inlineStr">
        <is>
          <t>매일</t>
        </is>
      </c>
      <c r="O48" s="8" t="inlineStr">
        <is>
          <t>정형(매뉴얼화 가능)</t>
        </is>
      </c>
      <c r="P48" s="8" t="inlineStr">
        <is>
          <t>예 - 확실히 중복</t>
        </is>
      </c>
      <c r="Q48" s="9" t="inlineStr">
        <is>
          <t>팀별 요청·공지를 업무보드 알림 하나로 일원화</t>
        </is>
      </c>
    </row>
    <row r="49" ht="19.5" customHeight="1">
      <c r="A49" s="51">
        <f>IF($B$3="","",$B$3+2)</f>
        <v/>
      </c>
      <c r="B49" s="6" t="inlineStr">
        <is>
          <t>수</t>
        </is>
      </c>
      <c r="C49" s="52" t="n">
        <v>0.3958333333333333</v>
      </c>
      <c r="D49" s="52" t="n">
        <v>0.4375</v>
      </c>
      <c r="E49" s="5">
        <f>IF(OR(C49="",D49=""),"",(D49-C49)*1440)</f>
        <v/>
      </c>
      <c r="F49" s="8" t="inlineStr">
        <is>
          <t>파트너·대리점관리</t>
        </is>
      </c>
      <c r="G49" s="8" t="inlineStr">
        <is>
          <t>PTR-01 대리점·파트너사 방문·미팅</t>
        </is>
      </c>
      <c r="H49" s="9" t="inlineStr">
        <is>
          <t>부산 대리점 방문 준비 — 촬영물품 및 미팅·인터뷰 질문지 최종 확인</t>
        </is>
      </c>
      <c r="I49" s="8" t="inlineStr">
        <is>
          <t>대리점(가나랜드·겸남지사)</t>
        </is>
      </c>
      <c r="J49" s="8" t="inlineStr">
        <is>
          <t>POUR OS(업무보드)</t>
        </is>
      </c>
      <c r="K49" s="8" t="inlineStr">
        <is>
          <t>이란</t>
        </is>
      </c>
      <c r="L49" s="8" t="inlineStr">
        <is>
          <t>가나랜드, 겸남지사</t>
        </is>
      </c>
      <c r="M49" s="8" t="inlineStr">
        <is>
          <t>방문 준비 체크리스트</t>
        </is>
      </c>
      <c r="N49" s="8" t="inlineStr">
        <is>
          <t>분기/비정기</t>
        </is>
      </c>
      <c r="O49" s="8" t="inlineStr">
        <is>
          <t>반정형</t>
        </is>
      </c>
      <c r="P49" s="8" t="inlineStr">
        <is>
          <t>모름</t>
        </is>
      </c>
      <c r="Q49" s="9" t="inlineStr">
        <is>
          <t>대리점 방문 준비 체크리스트 표준화</t>
        </is>
      </c>
    </row>
    <row r="50" ht="19.5" customHeight="1">
      <c r="A50" s="51">
        <f>IF($B$3="","",$B$3+2)</f>
        <v/>
      </c>
      <c r="B50" s="6" t="inlineStr">
        <is>
          <t>수</t>
        </is>
      </c>
      <c r="C50" s="52" t="n">
        <v>0.4375</v>
      </c>
      <c r="D50" s="52" t="n">
        <v>0.4791666666666667</v>
      </c>
      <c r="E50" s="5">
        <f>IF(OR(C50="",D50=""),"",(D50-C50)*1440)</f>
        <v/>
      </c>
      <c r="F50" s="8" t="inlineStr">
        <is>
          <t>마케팅·광고운영</t>
        </is>
      </c>
      <c r="G50" s="8" t="inlineStr">
        <is>
          <t>MKT-05 프로모션·기획전 기획</t>
        </is>
      </c>
      <c r="H50" s="9" t="inlineStr">
        <is>
          <t>스토어 8~10월 프로모션 기획안 검토 및 피드백(민지님)</t>
        </is>
      </c>
      <c r="I50" s="8" t="inlineStr">
        <is>
          <t>POUR스토어</t>
        </is>
      </c>
      <c r="J50" s="8" t="inlineStr">
        <is>
          <t>POUR OS(업무보드)</t>
        </is>
      </c>
      <c r="K50" s="8" t="inlineStr">
        <is>
          <t>김민지</t>
        </is>
      </c>
      <c r="L50" s="8" t="n"/>
      <c r="M50" s="8" t="inlineStr">
        <is>
          <t>프로모션 기획 피드백</t>
        </is>
      </c>
      <c r="N50" s="8" t="inlineStr">
        <is>
          <t>월 1회</t>
        </is>
      </c>
      <c r="O50" s="8" t="inlineStr">
        <is>
          <t>반정형</t>
        </is>
      </c>
      <c r="P50" s="8" t="inlineStr">
        <is>
          <t>아마도 중복</t>
        </is>
      </c>
      <c r="Q50" s="9" t="inlineStr">
        <is>
          <t>본부 공용 프로모션 캘린더로 3팀 일정·중복 방지</t>
        </is>
      </c>
    </row>
    <row r="51" ht="19.5" customHeight="1">
      <c r="A51" s="51">
        <f>IF($B$3="","",$B$3+2)</f>
        <v/>
      </c>
      <c r="B51" s="6" t="inlineStr">
        <is>
          <t>수</t>
        </is>
      </c>
      <c r="C51" s="52" t="n">
        <v>0.4791666666666667</v>
      </c>
      <c r="D51" s="52" t="n">
        <v>0.5</v>
      </c>
      <c r="E51" s="5">
        <f>IF(OR(C51="",D51=""),"",(D51-C51)*1440)</f>
        <v/>
      </c>
      <c r="F51" s="8" t="inlineStr">
        <is>
          <t>마케팅·광고운영</t>
        </is>
      </c>
      <c r="G51" s="8" t="inlineStr">
        <is>
          <t>MKT-02 광고 성과 모니터링·최적화</t>
        </is>
      </c>
      <c r="H51" s="9" t="inlineStr">
        <is>
          <t>신제품(철재페인트) 키워드광고 상위노출 확인</t>
        </is>
      </c>
      <c r="I51" s="8" t="inlineStr">
        <is>
          <t>신제품 철재페인트 / 네이버</t>
        </is>
      </c>
      <c r="J51" s="8" t="inlineStr">
        <is>
          <t>네이버 검색, 검색광고 관리자</t>
        </is>
      </c>
      <c r="K51" s="8" t="n"/>
      <c r="L51" s="8" t="n"/>
      <c r="M51" s="8" t="inlineStr">
        <is>
          <t>노출 순위 점검 메모</t>
        </is>
      </c>
      <c r="N51" s="8" t="inlineStr">
        <is>
          <t>주 2~3회</t>
        </is>
      </c>
      <c r="O51" s="8" t="inlineStr">
        <is>
          <t>정형(매뉴얼화 가능)</t>
        </is>
      </c>
      <c r="P51" s="8" t="inlineStr">
        <is>
          <t>예 - 확실히 중복</t>
        </is>
      </c>
      <c r="Q51" s="9" t="inlineStr">
        <is>
          <t>키워드 순위 자동 추적 리포트로 대체</t>
        </is>
      </c>
    </row>
    <row r="52" ht="19.5" customHeight="1">
      <c r="A52" s="51">
        <f>IF($B$3="","",$B$3+2)</f>
        <v/>
      </c>
      <c r="B52" s="6" t="inlineStr">
        <is>
          <t>수</t>
        </is>
      </c>
      <c r="C52" s="52" t="n">
        <v>0.5</v>
      </c>
      <c r="D52" s="52" t="n">
        <v>0.5416666666666666</v>
      </c>
      <c r="E52" s="5">
        <f>IF(OR(C52="",D52=""),"",(D52-C52)*1440)</f>
        <v/>
      </c>
      <c r="F52" s="8" t="inlineStr">
        <is>
          <t>기타·행정</t>
        </is>
      </c>
      <c r="G52" s="8" t="inlineStr">
        <is>
          <t>ETC-05 휴게·점심</t>
        </is>
      </c>
      <c r="H52" s="9" t="inlineStr">
        <is>
          <t>점심 및 휴게</t>
        </is>
      </c>
      <c r="I52" s="8" t="n"/>
      <c r="J52" s="8" t="n"/>
      <c r="K52" s="8" t="n"/>
      <c r="L52" s="8" t="n"/>
      <c r="M52" s="8" t="n"/>
      <c r="N52" s="8" t="inlineStr">
        <is>
          <t>매일</t>
        </is>
      </c>
      <c r="O52" s="8" t="inlineStr">
        <is>
          <t>정형(매뉴얼화 가능)</t>
        </is>
      </c>
      <c r="P52" s="8" t="inlineStr">
        <is>
          <t>예 - 확실히 중복</t>
        </is>
      </c>
      <c r="Q52" s="9" t="n"/>
    </row>
    <row r="53" ht="19.5" customHeight="1">
      <c r="A53" s="51">
        <f>IF($B$3="","",$B$3+2)</f>
        <v/>
      </c>
      <c r="B53" s="6" t="inlineStr">
        <is>
          <t>수</t>
        </is>
      </c>
      <c r="C53" s="52" t="n">
        <v>0.5416666666666666</v>
      </c>
      <c r="D53" s="52" t="n">
        <v>0.5833333333333334</v>
      </c>
      <c r="E53" s="5">
        <f>IF(OR(C53="",D53=""),"",(D53-C53)*1440)</f>
        <v/>
      </c>
      <c r="F53" s="8" t="inlineStr">
        <is>
          <t>기획·보고·회의</t>
        </is>
      </c>
      <c r="G53" s="8" t="inlineStr">
        <is>
          <t>MGT-06 팀원 업무·산출물 검토·피드백</t>
        </is>
      </c>
      <c r="H53" s="9" t="inlineStr">
        <is>
          <t>AX+업무리스트 보고서 검토 및 피드백(정하님)</t>
        </is>
      </c>
      <c r="I53" s="8" t="inlineStr">
        <is>
          <t>팀 업무관리</t>
        </is>
      </c>
      <c r="J53" s="8" t="inlineStr">
        <is>
          <t>POUR OS(업무보드)</t>
        </is>
      </c>
      <c r="K53" s="8" t="inlineStr">
        <is>
          <t>정하</t>
        </is>
      </c>
      <c r="L53" s="8" t="n"/>
      <c r="M53" s="8" t="inlineStr">
        <is>
          <t>검토 피드백</t>
        </is>
      </c>
      <c r="N53" s="8" t="inlineStr">
        <is>
          <t>주 1회</t>
        </is>
      </c>
      <c r="O53" s="8" t="inlineStr">
        <is>
          <t>비정형(판단 필요)</t>
        </is>
      </c>
      <c r="P53" s="8" t="inlineStr">
        <is>
          <t>아마도 중복</t>
        </is>
      </c>
      <c r="Q53" s="9" t="inlineStr">
        <is>
          <t>업무보드 데이터 자동 집계로 보고서 수기작성 제거</t>
        </is>
      </c>
    </row>
    <row r="54" ht="19.5" customHeight="1">
      <c r="A54" s="51">
        <f>IF($B$3="","",$B$3+2)</f>
        <v/>
      </c>
      <c r="B54" s="6" t="inlineStr">
        <is>
          <t>수</t>
        </is>
      </c>
      <c r="C54" s="52" t="n">
        <v>0.5833333333333334</v>
      </c>
      <c r="D54" s="52" t="n">
        <v>0.625</v>
      </c>
      <c r="E54" s="5">
        <f>IF(OR(C54="",D54=""),"",(D54-C54)*1440)</f>
        <v/>
      </c>
      <c r="F54" s="8" t="inlineStr">
        <is>
          <t>기획·보고·회의</t>
        </is>
      </c>
      <c r="G54" s="8" t="inlineStr">
        <is>
          <t>MGT-06 팀원 업무·산출물 검토·피드백</t>
        </is>
      </c>
      <c r="H54" s="9" t="inlineStr">
        <is>
          <t>AX+업무리스트 보고서 검토 및 피드백(채림님)</t>
        </is>
      </c>
      <c r="I54" s="8" t="inlineStr">
        <is>
          <t>팀 업무관리</t>
        </is>
      </c>
      <c r="J54" s="8" t="inlineStr">
        <is>
          <t>POUR OS(업무보드)</t>
        </is>
      </c>
      <c r="K54" s="8" t="inlineStr">
        <is>
          <t>양채림</t>
        </is>
      </c>
      <c r="L54" s="8" t="n"/>
      <c r="M54" s="8" t="inlineStr">
        <is>
          <t>검토 피드백</t>
        </is>
      </c>
      <c r="N54" s="8" t="inlineStr">
        <is>
          <t>주 1회</t>
        </is>
      </c>
      <c r="O54" s="8" t="inlineStr">
        <is>
          <t>비정형(판단 필요)</t>
        </is>
      </c>
      <c r="P54" s="8" t="inlineStr">
        <is>
          <t>아마도 중복</t>
        </is>
      </c>
      <c r="Q54" s="9" t="inlineStr">
        <is>
          <t>업무보드 데이터 자동 집계로 보고서 수기작성 제거</t>
        </is>
      </c>
    </row>
    <row r="55" ht="19.5" customHeight="1">
      <c r="A55" s="51">
        <f>IF($B$3="","",$B$3+2)</f>
        <v/>
      </c>
      <c r="B55" s="6" t="inlineStr">
        <is>
          <t>수</t>
        </is>
      </c>
      <c r="C55" s="52" t="n">
        <v>0.625</v>
      </c>
      <c r="D55" s="52" t="n">
        <v>0.6666666666666666</v>
      </c>
      <c r="E55" s="5">
        <f>IF(OR(C55="",D55=""),"",(D55-C55)*1440)</f>
        <v/>
      </c>
      <c r="F55" s="8" t="inlineStr">
        <is>
          <t>기획·보고·회의</t>
        </is>
      </c>
      <c r="G55" s="8" t="inlineStr">
        <is>
          <t>MGT-07 업무 인수인계·이관</t>
        </is>
      </c>
      <c r="H55" s="9" t="inlineStr">
        <is>
          <t>그로홈 업무 인수인계 받음 — 담당 범위·진행건 확인</t>
        </is>
      </c>
      <c r="I55" s="8" t="inlineStr">
        <is>
          <t>그로홈</t>
        </is>
      </c>
      <c r="J55" s="8" t="inlineStr">
        <is>
          <t>POUR OS(업무보드)</t>
        </is>
      </c>
      <c r="K55" s="8" t="n"/>
      <c r="L55" s="8" t="n"/>
      <c r="M55" s="8" t="inlineStr">
        <is>
          <t>인수인계 항목 정리</t>
        </is>
      </c>
      <c r="N55" s="8" t="inlineStr">
        <is>
          <t>1회성</t>
        </is>
      </c>
      <c r="O55" s="8" t="inlineStr">
        <is>
          <t>비정형(판단 필요)</t>
        </is>
      </c>
      <c r="P55" s="8" t="inlineStr">
        <is>
          <t>모름</t>
        </is>
      </c>
      <c r="Q55" s="9" t="inlineStr">
        <is>
          <t>인수인계 체크리스트·담당 매핑표 상시 관리</t>
        </is>
      </c>
    </row>
    <row r="56" ht="19.5" customHeight="1">
      <c r="A56" s="51">
        <f>IF($B$3="","",$B$3+2)</f>
        <v/>
      </c>
      <c r="B56" s="6" t="inlineStr">
        <is>
          <t>수</t>
        </is>
      </c>
      <c r="C56" s="52" t="n">
        <v>0.6666666666666666</v>
      </c>
      <c r="D56" s="52" t="n">
        <v>0.7291666666666666</v>
      </c>
      <c r="E56" s="5">
        <f>IF(OR(C56="",D56=""),"",(D56-C56)*1440)</f>
        <v/>
      </c>
      <c r="F56" s="8" t="inlineStr">
        <is>
          <t>콘텐츠제작</t>
        </is>
      </c>
      <c r="G56" s="8" t="inlineStr">
        <is>
          <t>CNT-07 카탈로그·영업자료 제작</t>
        </is>
      </c>
      <c r="H56" s="9" t="inlineStr">
        <is>
          <t>부자재 소개 카달로그 제작</t>
        </is>
      </c>
      <c r="I56" s="8" t="inlineStr">
        <is>
          <t>부자재</t>
        </is>
      </c>
      <c r="J56" s="8" t="n"/>
      <c r="K56" s="8" t="n"/>
      <c r="L56" s="8" t="n"/>
      <c r="M56" s="8" t="inlineStr">
        <is>
          <t>부자재 소개 카달로그</t>
        </is>
      </c>
      <c r="N56" s="8" t="inlineStr">
        <is>
          <t>1회성</t>
        </is>
      </c>
      <c r="O56" s="8" t="inlineStr">
        <is>
          <t>반정형</t>
        </is>
      </c>
      <c r="P56" s="8" t="inlineStr">
        <is>
          <t>아마도 중복</t>
        </is>
      </c>
      <c r="Q56" s="9" t="inlineStr">
        <is>
          <t>상품 마스터 데이터로 카달로그 자동 생성</t>
        </is>
      </c>
    </row>
    <row r="57" ht="19.5" customHeight="1">
      <c r="A57" s="51">
        <f>IF($B$3="","",$B$3+2)</f>
        <v/>
      </c>
      <c r="B57" s="6" t="inlineStr">
        <is>
          <t>수</t>
        </is>
      </c>
      <c r="C57" s="52" t="n">
        <v>0.7291666666666666</v>
      </c>
      <c r="D57" s="52" t="n">
        <v>0.75</v>
      </c>
      <c r="E57" s="5">
        <f>IF(OR(C57="",D57=""),"",(D57-C57)*1440)</f>
        <v/>
      </c>
      <c r="F57" s="8" t="inlineStr">
        <is>
          <t>제조·생산관리</t>
        </is>
      </c>
      <c r="G57" s="8" t="inlineStr">
        <is>
          <t>MFG-08 MSDS·라벨 등 제품 표시사항 제작</t>
        </is>
      </c>
      <c r="H57" s="9" t="inlineStr">
        <is>
          <t>신제품 코트재 MSDS 컬러별 31개 제작 — 진행중</t>
        </is>
      </c>
      <c r="I57" s="8" t="inlineStr">
        <is>
          <t>코트재 신제품 31색</t>
        </is>
      </c>
      <c r="J57" s="8" t="n"/>
      <c r="K57" s="8" t="n"/>
      <c r="L57" s="8" t="inlineStr">
        <is>
          <t>세이고, 쿠팡물류센터</t>
        </is>
      </c>
      <c r="M57" s="8" t="inlineStr">
        <is>
          <t>MSDS 31종</t>
        </is>
      </c>
      <c r="N57" s="8" t="inlineStr">
        <is>
          <t>1회성</t>
        </is>
      </c>
      <c r="O57" s="8" t="inlineStr">
        <is>
          <t>반정형</t>
        </is>
      </c>
      <c r="P57" s="8" t="inlineStr">
        <is>
          <t>아니오 - 우리팀 고유</t>
        </is>
      </c>
      <c r="Q57" s="9" t="inlineStr">
        <is>
          <t>품목·색상 데이터 연동으로 MSDS 서식 자동 생성</t>
        </is>
      </c>
    </row>
    <row r="58" ht="19.5" customHeight="1">
      <c r="A58" s="51">
        <f>IF($B$3="","",$B$3+2)</f>
        <v/>
      </c>
      <c r="B58" s="6" t="inlineStr">
        <is>
          <t>수</t>
        </is>
      </c>
      <c r="C58" s="52" t="n"/>
      <c r="D58" s="52" t="n"/>
      <c r="E58" s="5">
        <f>IF(OR(C58="",D58=""),"",(D58-C58)*1440)</f>
        <v/>
      </c>
      <c r="F58" s="8" t="n"/>
      <c r="G58" s="8" t="n"/>
      <c r="H58" s="9" t="n"/>
      <c r="I58" s="8" t="n"/>
      <c r="J58" s="8" t="n"/>
      <c r="K58" s="8" t="n"/>
      <c r="L58" s="8" t="n"/>
      <c r="M58" s="8" t="n"/>
      <c r="N58" s="8" t="n"/>
      <c r="O58" s="8" t="n"/>
      <c r="P58" s="8" t="n"/>
      <c r="Q58" s="9" t="n"/>
    </row>
    <row r="59" ht="19.5" customHeight="1">
      <c r="A59" s="51">
        <f>IF($B$3="","",$B$3+2)</f>
        <v/>
      </c>
      <c r="B59" s="6" t="inlineStr">
        <is>
          <t>수</t>
        </is>
      </c>
      <c r="C59" s="52" t="n"/>
      <c r="D59" s="52" t="n"/>
      <c r="E59" s="5">
        <f>IF(OR(C59="",D59=""),"",(D59-C59)*1440)</f>
        <v/>
      </c>
      <c r="F59" s="8" t="n"/>
      <c r="G59" s="8" t="n"/>
      <c r="H59" s="9" t="n"/>
      <c r="I59" s="8" t="n"/>
      <c r="J59" s="8" t="n"/>
      <c r="K59" s="8" t="n"/>
      <c r="L59" s="8" t="n"/>
      <c r="M59" s="8" t="n"/>
      <c r="N59" s="8" t="n"/>
      <c r="O59" s="8" t="n"/>
      <c r="P59" s="8" t="n"/>
      <c r="Q59" s="9" t="n"/>
    </row>
    <row r="60" ht="19.5" customHeight="1">
      <c r="A60" s="51">
        <f>IF($B$3="","",$B$3+2)</f>
        <v/>
      </c>
      <c r="B60" s="6" t="inlineStr">
        <is>
          <t>수</t>
        </is>
      </c>
      <c r="C60" s="52" t="n"/>
      <c r="D60" s="52" t="n"/>
      <c r="E60" s="5">
        <f>IF(OR(C60="",D60=""),"",(D60-C60)*1440)</f>
        <v/>
      </c>
      <c r="F60" s="8" t="n"/>
      <c r="G60" s="8" t="n"/>
      <c r="H60" s="9" t="n"/>
      <c r="I60" s="8" t="n"/>
      <c r="J60" s="8" t="n"/>
      <c r="K60" s="8" t="n"/>
      <c r="L60" s="8" t="n"/>
      <c r="M60" s="8" t="n"/>
      <c r="N60" s="8" t="n"/>
      <c r="O60" s="8" t="n"/>
      <c r="P60" s="8" t="n"/>
      <c r="Q60" s="9" t="n"/>
    </row>
    <row r="61" ht="19.5" customHeight="1">
      <c r="A61" s="51">
        <f>IF($B$3="","",$B$3+2)</f>
        <v/>
      </c>
      <c r="B61" s="6" t="inlineStr">
        <is>
          <t>수</t>
        </is>
      </c>
      <c r="C61" s="52" t="n"/>
      <c r="D61" s="52" t="n"/>
      <c r="E61" s="5">
        <f>IF(OR(C61="",D61=""),"",(D61-C61)*1440)</f>
        <v/>
      </c>
      <c r="F61" s="8" t="n"/>
      <c r="G61" s="8" t="n"/>
      <c r="H61" s="9" t="n"/>
      <c r="I61" s="8" t="n"/>
      <c r="J61" s="8" t="n"/>
      <c r="K61" s="8" t="n"/>
      <c r="L61" s="8" t="n"/>
      <c r="M61" s="8" t="n"/>
      <c r="N61" s="8" t="n"/>
      <c r="O61" s="8" t="n"/>
      <c r="P61" s="8" t="n"/>
      <c r="Q61" s="9" t="n"/>
    </row>
    <row r="62" ht="19.5" customHeight="1">
      <c r="A62" s="51">
        <f>IF($B$3="","",$B$3+2)</f>
        <v/>
      </c>
      <c r="B62" s="6" t="inlineStr">
        <is>
          <t>수</t>
        </is>
      </c>
      <c r="C62" s="52" t="n"/>
      <c r="D62" s="52" t="n"/>
      <c r="E62" s="5">
        <f>IF(OR(C62="",D62=""),"",(D62-C62)*1440)</f>
        <v/>
      </c>
      <c r="F62" s="8" t="n"/>
      <c r="G62" s="8" t="n"/>
      <c r="H62" s="9" t="n"/>
      <c r="I62" s="8" t="n"/>
      <c r="J62" s="8" t="n"/>
      <c r="K62" s="8" t="n"/>
      <c r="L62" s="8" t="n"/>
      <c r="M62" s="8" t="n"/>
      <c r="N62" s="8" t="n"/>
      <c r="O62" s="8" t="n"/>
      <c r="P62" s="8" t="n"/>
      <c r="Q62" s="9" t="n"/>
    </row>
    <row r="63" ht="19.5" customHeight="1">
      <c r="A63" s="51">
        <f>IF($B$3="","",$B$3+2)</f>
        <v/>
      </c>
      <c r="B63" s="6" t="inlineStr">
        <is>
          <t>수</t>
        </is>
      </c>
      <c r="C63" s="52" t="n"/>
      <c r="D63" s="52" t="n"/>
      <c r="E63" s="5">
        <f>IF(OR(C63="",D63=""),"",(D63-C63)*1440)</f>
        <v/>
      </c>
      <c r="F63" s="8" t="n"/>
      <c r="G63" s="8" t="n"/>
      <c r="H63" s="9" t="n"/>
      <c r="I63" s="8" t="n"/>
      <c r="J63" s="8" t="n"/>
      <c r="K63" s="8" t="n"/>
      <c r="L63" s="8" t="n"/>
      <c r="M63" s="8" t="n"/>
      <c r="N63" s="8" t="n"/>
      <c r="O63" s="8" t="n"/>
      <c r="P63" s="8" t="n"/>
      <c r="Q63" s="9" t="n"/>
    </row>
    <row r="64" ht="19.5" customHeight="1">
      <c r="A64" s="51">
        <f>IF($B$3="","",$B$3+2)</f>
        <v/>
      </c>
      <c r="B64" s="6" t="inlineStr">
        <is>
          <t>수</t>
        </is>
      </c>
      <c r="C64" s="52" t="n"/>
      <c r="D64" s="52" t="n"/>
      <c r="E64" s="5">
        <f>IF(OR(C64="",D64=""),"",(D64-C64)*1440)</f>
        <v/>
      </c>
      <c r="F64" s="8" t="n"/>
      <c r="G64" s="8" t="n"/>
      <c r="H64" s="9" t="n"/>
      <c r="I64" s="8" t="n"/>
      <c r="J64" s="8" t="n"/>
      <c r="K64" s="8" t="n"/>
      <c r="L64" s="8" t="n"/>
      <c r="M64" s="8" t="n"/>
      <c r="N64" s="8" t="n"/>
      <c r="O64" s="8" t="n"/>
      <c r="P64" s="8" t="n"/>
      <c r="Q64" s="9" t="n"/>
    </row>
    <row r="65" ht="19.5" customHeight="1">
      <c r="A65" s="51">
        <f>IF($B$3="","",$B$3+2)</f>
        <v/>
      </c>
      <c r="B65" s="6" t="inlineStr">
        <is>
          <t>수</t>
        </is>
      </c>
      <c r="C65" s="52" t="n"/>
      <c r="D65" s="52" t="n"/>
      <c r="E65" s="5">
        <f>IF(OR(C65="",D65=""),"",(D65-C65)*1440)</f>
        <v/>
      </c>
      <c r="F65" s="8" t="n"/>
      <c r="G65" s="8" t="n"/>
      <c r="H65" s="9" t="n"/>
      <c r="I65" s="8" t="n"/>
      <c r="J65" s="8" t="n"/>
      <c r="K65" s="8" t="n"/>
      <c r="L65" s="8" t="n"/>
      <c r="M65" s="8" t="n"/>
      <c r="N65" s="8" t="n"/>
      <c r="O65" s="8" t="n"/>
      <c r="P65" s="8" t="n"/>
      <c r="Q65" s="9" t="n"/>
    </row>
    <row r="66" ht="19.5" customHeight="1">
      <c r="A66" s="51">
        <f>IF($B$3="","",$B$3+2)</f>
        <v/>
      </c>
      <c r="B66" s="6" t="inlineStr">
        <is>
          <t>수(추가)</t>
        </is>
      </c>
      <c r="C66" s="52" t="n"/>
      <c r="D66" s="52" t="n"/>
      <c r="E66" s="5">
        <f>IF(OR(C66="",D66=""),"",(D66-C66)*1440)</f>
        <v/>
      </c>
      <c r="F66" s="8" t="n"/>
      <c r="G66" s="8" t="n"/>
      <c r="H66" s="9" t="n"/>
      <c r="I66" s="8" t="n"/>
      <c r="J66" s="8" t="n"/>
      <c r="K66" s="8" t="n"/>
      <c r="L66" s="8" t="n"/>
      <c r="M66" s="8" t="n"/>
      <c r="N66" s="8" t="n"/>
      <c r="O66" s="8" t="n"/>
      <c r="P66" s="8" t="n"/>
      <c r="Q66" s="9" t="n"/>
    </row>
    <row r="67" ht="19.5" customHeight="1">
      <c r="A67" s="51">
        <f>IF($B$3="","",$B$3+2)</f>
        <v/>
      </c>
      <c r="B67" s="6" t="inlineStr">
        <is>
          <t>수(추가)</t>
        </is>
      </c>
      <c r="C67" s="52" t="n"/>
      <c r="D67" s="52" t="n"/>
      <c r="E67" s="5">
        <f>IF(OR(C67="",D67=""),"",(D67-C67)*1440)</f>
        <v/>
      </c>
      <c r="F67" s="8" t="n"/>
      <c r="G67" s="8" t="n"/>
      <c r="H67" s="9" t="n"/>
      <c r="I67" s="8" t="n"/>
      <c r="J67" s="8" t="n"/>
      <c r="K67" s="8" t="n"/>
      <c r="L67" s="8" t="n"/>
      <c r="M67" s="8" t="n"/>
      <c r="N67" s="8" t="n"/>
      <c r="O67" s="8" t="n"/>
      <c r="P67" s="8" t="n"/>
      <c r="Q67" s="9" t="n"/>
    </row>
    <row r="68" ht="19.5" customHeight="1">
      <c r="A68" s="51">
        <f>IF($B$3="","",$B$3+3)</f>
        <v/>
      </c>
      <c r="B68" s="6" t="inlineStr">
        <is>
          <t>목</t>
        </is>
      </c>
      <c r="C68" s="52" t="n">
        <v>0.375</v>
      </c>
      <c r="D68" s="52" t="n">
        <v>0.3958333333333333</v>
      </c>
      <c r="E68" s="5">
        <f>IF(OR(C68="",D68=""),"",(D68-C68)*1440)</f>
        <v/>
      </c>
      <c r="F68" s="8" t="inlineStr">
        <is>
          <t>기타·행정</t>
        </is>
      </c>
      <c r="G68" s="8" t="inlineStr">
        <is>
          <t>ETC-01 메일·메신저 확인 및 회신</t>
        </is>
      </c>
      <c r="H68" s="9" t="inlineStr">
        <is>
          <t>출근 후 메일·메신저·업무보드 확인 및 회신</t>
        </is>
      </c>
      <c r="I68" s="8" t="inlineStr">
        <is>
          <t>전사</t>
        </is>
      </c>
      <c r="J68" s="8" t="inlineStr">
        <is>
          <t>POUR OS(업무보드)</t>
        </is>
      </c>
      <c r="K68" s="8" t="n"/>
      <c r="L68" s="8" t="n"/>
      <c r="M68" s="8" t="inlineStr">
        <is>
          <t>회신 처리</t>
        </is>
      </c>
      <c r="N68" s="8" t="inlineStr">
        <is>
          <t>매일</t>
        </is>
      </c>
      <c r="O68" s="8" t="inlineStr">
        <is>
          <t>정형(매뉴얼화 가능)</t>
        </is>
      </c>
      <c r="P68" s="8" t="inlineStr">
        <is>
          <t>예 - 확실히 중복</t>
        </is>
      </c>
      <c r="Q68" s="9" t="inlineStr">
        <is>
          <t>팀별 요청·공지를 업무보드 알림 하나로 일원화</t>
        </is>
      </c>
    </row>
    <row r="69" ht="19.5" customHeight="1">
      <c r="A69" s="51">
        <f>IF($B$3="","",$B$3+3)</f>
        <v/>
      </c>
      <c r="B69" s="6" t="inlineStr">
        <is>
          <t>목</t>
        </is>
      </c>
      <c r="C69" s="52" t="n">
        <v>0.3958333333333333</v>
      </c>
      <c r="D69" s="52" t="n">
        <v>0.4375</v>
      </c>
      <c r="E69" s="5">
        <f>IF(OR(C69="",D69=""),"",(D69-C69)*1440)</f>
        <v/>
      </c>
      <c r="F69" s="8" t="inlineStr">
        <is>
          <t>마케팅·광고운영</t>
        </is>
      </c>
      <c r="G69" s="8" t="inlineStr">
        <is>
          <t>MKT-08 제휴마케팅(링크프라이스 등) 운영·성과확인</t>
        </is>
      </c>
      <c r="H69" s="9" t="inlineStr">
        <is>
          <t>링크프라이스 네이버쇼핑·파워링크 주간보고 수령 → 본부장님 보고 → 보성님 인계</t>
        </is>
      </c>
      <c r="I69" s="8" t="inlineStr">
        <is>
          <t>POUR스토어 / 네이버쇼핑·파워링크</t>
        </is>
      </c>
      <c r="J69" s="8" t="inlineStr">
        <is>
          <t>링크프라이스 관리자</t>
        </is>
      </c>
      <c r="K69" s="8" t="inlineStr">
        <is>
          <t>본부장, 보성님</t>
        </is>
      </c>
      <c r="L69" s="8" t="inlineStr">
        <is>
          <t>링크프라이스</t>
        </is>
      </c>
      <c r="M69" s="8" t="inlineStr">
        <is>
          <t>제휴·검색광고 주간보고</t>
        </is>
      </c>
      <c r="N69" s="8" t="inlineStr">
        <is>
          <t>주 1회</t>
        </is>
      </c>
      <c r="O69" s="8" t="inlineStr">
        <is>
          <t>정형(매뉴얼화 가능)</t>
        </is>
      </c>
      <c r="P69" s="8" t="inlineStr">
        <is>
          <t>예 - 확실히 중복</t>
        </is>
      </c>
      <c r="Q69" s="9" t="inlineStr">
        <is>
          <t>주간보고 자동 생성 후 공유(수령→전달 단계 제거)</t>
        </is>
      </c>
    </row>
    <row r="70" ht="19.5" customHeight="1">
      <c r="A70" s="51">
        <f>IF($B$3="","",$B$3+3)</f>
        <v/>
      </c>
      <c r="B70" s="6" t="inlineStr">
        <is>
          <t>목</t>
        </is>
      </c>
      <c r="C70" s="52" t="n">
        <v>0.4375</v>
      </c>
      <c r="D70" s="52" t="n">
        <v>0.4791666666666667</v>
      </c>
      <c r="E70" s="5">
        <f>IF(OR(C70="",D70=""),"",(D70-C70)*1440)</f>
        <v/>
      </c>
      <c r="F70" s="8" t="inlineStr">
        <is>
          <t>기타·행정</t>
        </is>
      </c>
      <c r="G70" s="8" t="inlineStr">
        <is>
          <t>ETC-02 행정·경비·구매 처리</t>
        </is>
      </c>
      <c r="H70" s="9" t="inlineStr">
        <is>
          <t>씰맥스프로 결제 처리 및 세이고 입고내역 자료 송부(김성준 공장장님께)</t>
        </is>
      </c>
      <c r="I70" s="8" t="inlineStr">
        <is>
          <t>씰맥스프로 / 세이고</t>
        </is>
      </c>
      <c r="J70" s="8" t="n"/>
      <c r="K70" s="8" t="n"/>
      <c r="L70" s="8" t="inlineStr">
        <is>
          <t>세이고, 김성준 공장장</t>
        </is>
      </c>
      <c r="M70" s="8" t="inlineStr">
        <is>
          <t>결제 완료·입고내역 자료</t>
        </is>
      </c>
      <c r="N70" s="8" t="inlineStr">
        <is>
          <t>주 1회</t>
        </is>
      </c>
      <c r="O70" s="8" t="inlineStr">
        <is>
          <t>정형(매뉴얼화 가능)</t>
        </is>
      </c>
      <c r="P70" s="8" t="inlineStr">
        <is>
          <t>아마도 중복</t>
        </is>
      </c>
      <c r="Q70" s="9" t="inlineStr">
        <is>
          <t>결제·입고내역 자동 정산 시트 연동</t>
        </is>
      </c>
    </row>
    <row r="71" ht="19.5" customHeight="1">
      <c r="A71" s="51">
        <f>IF($B$3="","",$B$3+3)</f>
        <v/>
      </c>
      <c r="B71" s="6" t="inlineStr">
        <is>
          <t>목</t>
        </is>
      </c>
      <c r="C71" s="52" t="n">
        <v>0.4791666666666667</v>
      </c>
      <c r="D71" s="52" t="n">
        <v>0.5</v>
      </c>
      <c r="E71" s="5">
        <f>IF(OR(C71="",D71=""),"",(D71-C71)*1440)</f>
        <v/>
      </c>
      <c r="F71" s="8" t="inlineStr">
        <is>
          <t>기획·보고·회의</t>
        </is>
      </c>
      <c r="G71" s="8" t="inlineStr">
        <is>
          <t>MGT-06 팀원 업무·산출물 검토·피드백</t>
        </is>
      </c>
      <c r="H71" s="9" t="inlineStr">
        <is>
          <t>정하님 업무정리 리스트 검토</t>
        </is>
      </c>
      <c r="I71" s="8" t="inlineStr">
        <is>
          <t>팀 업무관리</t>
        </is>
      </c>
      <c r="J71" s="8" t="inlineStr">
        <is>
          <t>POUR OS(업무보드)</t>
        </is>
      </c>
      <c r="K71" s="8" t="inlineStr">
        <is>
          <t>정하</t>
        </is>
      </c>
      <c r="L71" s="8" t="n"/>
      <c r="M71" s="8" t="inlineStr">
        <is>
          <t>검토 의견</t>
        </is>
      </c>
      <c r="N71" s="8" t="inlineStr">
        <is>
          <t>주 1회</t>
        </is>
      </c>
      <c r="O71" s="8" t="inlineStr">
        <is>
          <t>비정형(판단 필요)</t>
        </is>
      </c>
      <c r="P71" s="8" t="inlineStr">
        <is>
          <t>아마도 중복</t>
        </is>
      </c>
      <c r="Q71" s="9" t="inlineStr">
        <is>
          <t>업무보드 데이터 자동 집계로 대체</t>
        </is>
      </c>
    </row>
    <row r="72" ht="19.5" customHeight="1">
      <c r="A72" s="51">
        <f>IF($B$3="","",$B$3+3)</f>
        <v/>
      </c>
      <c r="B72" s="6" t="inlineStr">
        <is>
          <t>목</t>
        </is>
      </c>
      <c r="C72" s="52" t="n">
        <v>0.5</v>
      </c>
      <c r="D72" s="52" t="n">
        <v>0.5416666666666666</v>
      </c>
      <c r="E72" s="5">
        <f>IF(OR(C72="",D72=""),"",(D72-C72)*1440)</f>
        <v/>
      </c>
      <c r="F72" s="8" t="inlineStr">
        <is>
          <t>기타·행정</t>
        </is>
      </c>
      <c r="G72" s="8" t="inlineStr">
        <is>
          <t>ETC-05 휴게·점심</t>
        </is>
      </c>
      <c r="H72" s="9" t="inlineStr">
        <is>
          <t>점심 및 휴게</t>
        </is>
      </c>
      <c r="I72" s="8" t="n"/>
      <c r="J72" s="8" t="n"/>
      <c r="K72" s="8" t="n"/>
      <c r="L72" s="8" t="n"/>
      <c r="M72" s="8" t="n"/>
      <c r="N72" s="8" t="inlineStr">
        <is>
          <t>매일</t>
        </is>
      </c>
      <c r="O72" s="8" t="inlineStr">
        <is>
          <t>정형(매뉴얼화 가능)</t>
        </is>
      </c>
      <c r="P72" s="8" t="inlineStr">
        <is>
          <t>예 - 확실히 중복</t>
        </is>
      </c>
      <c r="Q72" s="9" t="n"/>
    </row>
    <row r="73" ht="19.5" customHeight="1">
      <c r="A73" s="51">
        <f>IF($B$3="","",$B$3+3)</f>
        <v/>
      </c>
      <c r="B73" s="6" t="inlineStr">
        <is>
          <t>목</t>
        </is>
      </c>
      <c r="C73" s="52" t="n">
        <v>0.5416666666666666</v>
      </c>
      <c r="D73" s="52" t="n">
        <v>0.6041666666666666</v>
      </c>
      <c r="E73" s="5">
        <f>IF(OR(C73="",D73=""),"",(D73-C73)*1440)</f>
        <v/>
      </c>
      <c r="F73" s="8" t="inlineStr">
        <is>
          <t>마케팅·광고운영</t>
        </is>
      </c>
      <c r="G73" s="8" t="inlineStr">
        <is>
          <t>MKT-04 인플루언서·체험단 섭외/관리</t>
        </is>
      </c>
      <c r="H73" s="9" t="inlineStr">
        <is>
          <t>채림님 퍼포먼스마케팅 진행 방안(①직판 ②대리점·파트너사 2트랙 바이럴) 안내 및 매체·대행사 시장조사 요청</t>
        </is>
      </c>
      <c r="I73" s="8" t="inlineStr">
        <is>
          <t>POUR스토어 / 블로그·유튜브·카페·인스타</t>
        </is>
      </c>
      <c r="J73" s="8" t="inlineStr">
        <is>
          <t>POUR OS(업무보드)</t>
        </is>
      </c>
      <c r="K73" s="8" t="inlineStr">
        <is>
          <t>양채림</t>
        </is>
      </c>
      <c r="L73" s="8" t="inlineStr">
        <is>
          <t>인플루언서, 바이럴 대행사(레뷰 등)</t>
        </is>
      </c>
      <c r="M73" s="8" t="inlineStr">
        <is>
          <t>진행 방안 안내·시장조사 요청서</t>
        </is>
      </c>
      <c r="N73" s="8" t="inlineStr">
        <is>
          <t>주 1회</t>
        </is>
      </c>
      <c r="O73" s="8" t="inlineStr">
        <is>
          <t>비정형(판단 필요)</t>
        </is>
      </c>
      <c r="P73" s="8" t="inlineStr">
        <is>
          <t>아마도 중복</t>
        </is>
      </c>
      <c r="Q73" s="9" t="inlineStr">
        <is>
          <t>바이럴 매체·대행사 후보 DB 공용화</t>
        </is>
      </c>
    </row>
    <row r="74" ht="19.5" customHeight="1">
      <c r="A74" s="51">
        <f>IF($B$3="","",$B$3+3)</f>
        <v/>
      </c>
      <c r="B74" s="6" t="inlineStr">
        <is>
          <t>목</t>
        </is>
      </c>
      <c r="C74" s="52" t="n">
        <v>0.6041666666666666</v>
      </c>
      <c r="D74" s="52" t="n">
        <v>0.6458333333333334</v>
      </c>
      <c r="E74" s="5">
        <f>IF(OR(C74="",D74=""),"",(D74-C74)*1440)</f>
        <v/>
      </c>
      <c r="F74" s="8" t="inlineStr">
        <is>
          <t>채널·스토어운영</t>
        </is>
      </c>
      <c r="G74" s="8" t="inlineStr">
        <is>
          <t>CHN-03 자사몰 운영·관리</t>
        </is>
      </c>
      <c r="H74" s="9" t="inlineStr">
        <is>
          <t>자사몰 회원 등급별 구매가능 상품 확인 페이지 제작 및 랜딩 링크 삽입 요청</t>
        </is>
      </c>
      <c r="I74" s="8" t="inlineStr">
        <is>
          <t>POUR스토어 자사몰</t>
        </is>
      </c>
      <c r="J74" s="8" t="inlineStr">
        <is>
          <t>자사몰 관리자</t>
        </is>
      </c>
      <c r="K74" s="8" t="n"/>
      <c r="L74" s="8" t="n"/>
      <c r="M74" s="8" t="inlineStr">
        <is>
          <t>등급별 구매가능 페이지 요청서</t>
        </is>
      </c>
      <c r="N74" s="8" t="inlineStr">
        <is>
          <t>1회성</t>
        </is>
      </c>
      <c r="O74" s="8" t="inlineStr">
        <is>
          <t>반정형</t>
        </is>
      </c>
      <c r="P74" s="8" t="inlineStr">
        <is>
          <t>모름</t>
        </is>
      </c>
      <c r="Q74" s="9" t="inlineStr">
        <is>
          <t>회원등급·판매권한 데이터 연동으로 페이지 자동 생성</t>
        </is>
      </c>
    </row>
    <row r="75" ht="19.5" customHeight="1">
      <c r="A75" s="51">
        <f>IF($B$3="","",$B$3+3)</f>
        <v/>
      </c>
      <c r="B75" s="6" t="inlineStr">
        <is>
          <t>목</t>
        </is>
      </c>
      <c r="C75" s="52" t="n">
        <v>0.6458333333333334</v>
      </c>
      <c r="D75" s="52" t="n">
        <v>0.7083333333333334</v>
      </c>
      <c r="E75" s="5">
        <f>IF(OR(C75="",D75=""),"",(D75-C75)*1440)</f>
        <v/>
      </c>
      <c r="F75" s="8" t="inlineStr">
        <is>
          <t>데이터·정산</t>
        </is>
      </c>
      <c r="G75" s="8" t="inlineStr">
        <is>
          <t>DAT-04 리포트·대시보드 작성</t>
        </is>
      </c>
      <c r="H75" s="9" t="inlineStr">
        <is>
          <t>POUR스토어 단가·공헌이익·손익계산 대시보드 제작 — 진행중</t>
        </is>
      </c>
      <c r="I75" s="8" t="inlineStr">
        <is>
          <t>POUR스토어</t>
        </is>
      </c>
      <c r="J75" s="8" t="inlineStr">
        <is>
          <t>단가 대시보드, 엑셀</t>
        </is>
      </c>
      <c r="K75" s="8" t="n"/>
      <c r="L75" s="8" t="n"/>
      <c r="M75" s="8" t="inlineStr">
        <is>
          <t>단가·공헌이익·손익 대시보드</t>
        </is>
      </c>
      <c r="N75" s="8" t="inlineStr">
        <is>
          <t>주 2~3회</t>
        </is>
      </c>
      <c r="O75" s="8" t="inlineStr">
        <is>
          <t>비정형(판단 필요)</t>
        </is>
      </c>
      <c r="P75" s="8" t="inlineStr">
        <is>
          <t>아마도 중복</t>
        </is>
      </c>
      <c r="Q75" s="9" t="inlineStr">
        <is>
          <t>채널 수수료·원가 데이터 자동 연동으로 수기 입력 제거</t>
        </is>
      </c>
    </row>
    <row r="76" ht="19.5" customHeight="1">
      <c r="A76" s="51">
        <f>IF($B$3="","",$B$3+3)</f>
        <v/>
      </c>
      <c r="B76" s="6" t="inlineStr">
        <is>
          <t>목</t>
        </is>
      </c>
      <c r="C76" s="52" t="n">
        <v>0.7083333333333334</v>
      </c>
      <c r="D76" s="52" t="n">
        <v>0.75</v>
      </c>
      <c r="E76" s="5">
        <f>IF(OR(C76="",D76=""),"",(D76-C76)*1440)</f>
        <v/>
      </c>
      <c r="F76" s="8" t="inlineStr">
        <is>
          <t>제조·생산관리</t>
        </is>
      </c>
      <c r="G76" s="8" t="inlineStr">
        <is>
          <t>MFG-08 MSDS·라벨 등 제품 표시사항 제작</t>
        </is>
      </c>
      <c r="H76" s="9" t="inlineStr">
        <is>
          <t>신제품 코트재 MSDS 컬러별 31개 제작 — 진행중</t>
        </is>
      </c>
      <c r="I76" s="8" t="inlineStr">
        <is>
          <t>코트재 신제품 31색</t>
        </is>
      </c>
      <c r="J76" s="8" t="n"/>
      <c r="K76" s="8" t="n"/>
      <c r="L76" s="8" t="inlineStr">
        <is>
          <t>세이고, 쿠팡물류센터</t>
        </is>
      </c>
      <c r="M76" s="8" t="inlineStr">
        <is>
          <t>MSDS 31종</t>
        </is>
      </c>
      <c r="N76" s="8" t="inlineStr">
        <is>
          <t>1회성</t>
        </is>
      </c>
      <c r="O76" s="8" t="inlineStr">
        <is>
          <t>반정형</t>
        </is>
      </c>
      <c r="P76" s="8" t="inlineStr">
        <is>
          <t>아니오 - 우리팀 고유</t>
        </is>
      </c>
      <c r="Q76" s="9" t="inlineStr">
        <is>
          <t>품목·색상 데이터 연동으로 MSDS 서식 자동 생성</t>
        </is>
      </c>
    </row>
    <row r="77" ht="19.5" customHeight="1">
      <c r="A77" s="51">
        <f>IF($B$3="","",$B$3+3)</f>
        <v/>
      </c>
      <c r="B77" s="6" t="inlineStr">
        <is>
          <t>목</t>
        </is>
      </c>
      <c r="C77" s="52" t="n"/>
      <c r="D77" s="52" t="n"/>
      <c r="E77" s="5">
        <f>IF(OR(C77="",D77=""),"",(D77-C77)*1440)</f>
        <v/>
      </c>
      <c r="F77" s="8" t="n"/>
      <c r="G77" s="8" t="n"/>
      <c r="H77" s="9" t="n"/>
      <c r="I77" s="8" t="n"/>
      <c r="J77" s="8" t="n"/>
      <c r="K77" s="8" t="n"/>
      <c r="L77" s="8" t="n"/>
      <c r="M77" s="8" t="n"/>
      <c r="N77" s="8" t="n"/>
      <c r="O77" s="8" t="n"/>
      <c r="P77" s="8" t="n"/>
      <c r="Q77" s="9" t="n"/>
    </row>
    <row r="78" ht="19.5" customHeight="1">
      <c r="A78" s="51">
        <f>IF($B$3="","",$B$3+3)</f>
        <v/>
      </c>
      <c r="B78" s="6" t="inlineStr">
        <is>
          <t>목</t>
        </is>
      </c>
      <c r="C78" s="52" t="n"/>
      <c r="D78" s="52" t="n"/>
      <c r="E78" s="5">
        <f>IF(OR(C78="",D78=""),"",(D78-C78)*1440)</f>
        <v/>
      </c>
      <c r="F78" s="8" t="n"/>
      <c r="G78" s="8" t="n"/>
      <c r="H78" s="9" t="n"/>
      <c r="I78" s="8" t="n"/>
      <c r="J78" s="8" t="n"/>
      <c r="K78" s="8" t="n"/>
      <c r="L78" s="8" t="n"/>
      <c r="M78" s="8" t="n"/>
      <c r="N78" s="8" t="n"/>
      <c r="O78" s="8" t="n"/>
      <c r="P78" s="8" t="n"/>
      <c r="Q78" s="9" t="n"/>
    </row>
    <row r="79" ht="19.5" customHeight="1">
      <c r="A79" s="51">
        <f>IF($B$3="","",$B$3+3)</f>
        <v/>
      </c>
      <c r="B79" s="6" t="inlineStr">
        <is>
          <t>목</t>
        </is>
      </c>
      <c r="C79" s="52" t="n"/>
      <c r="D79" s="52" t="n"/>
      <c r="E79" s="5">
        <f>IF(OR(C79="",D79=""),"",(D79-C79)*1440)</f>
        <v/>
      </c>
      <c r="F79" s="8" t="n"/>
      <c r="G79" s="8" t="n"/>
      <c r="H79" s="9" t="n"/>
      <c r="I79" s="8" t="n"/>
      <c r="J79" s="8" t="n"/>
      <c r="K79" s="8" t="n"/>
      <c r="L79" s="8" t="n"/>
      <c r="M79" s="8" t="n"/>
      <c r="N79" s="8" t="n"/>
      <c r="O79" s="8" t="n"/>
      <c r="P79" s="8" t="n"/>
      <c r="Q79" s="9" t="n"/>
    </row>
    <row r="80" ht="19.5" customHeight="1">
      <c r="A80" s="51">
        <f>IF($B$3="","",$B$3+3)</f>
        <v/>
      </c>
      <c r="B80" s="6" t="inlineStr">
        <is>
          <t>목</t>
        </is>
      </c>
      <c r="C80" s="52" t="n"/>
      <c r="D80" s="52" t="n"/>
      <c r="E80" s="5">
        <f>IF(OR(C80="",D80=""),"",(D80-C80)*1440)</f>
        <v/>
      </c>
      <c r="F80" s="8" t="n"/>
      <c r="G80" s="8" t="n"/>
      <c r="H80" s="9" t="n"/>
      <c r="I80" s="8" t="n"/>
      <c r="J80" s="8" t="n"/>
      <c r="K80" s="8" t="n"/>
      <c r="L80" s="8" t="n"/>
      <c r="M80" s="8" t="n"/>
      <c r="N80" s="8" t="n"/>
      <c r="O80" s="8" t="n"/>
      <c r="P80" s="8" t="n"/>
      <c r="Q80" s="9" t="n"/>
    </row>
    <row r="81" ht="19.5" customHeight="1">
      <c r="A81" s="51">
        <f>IF($B$3="","",$B$3+3)</f>
        <v/>
      </c>
      <c r="B81" s="6" t="inlineStr">
        <is>
          <t>목</t>
        </is>
      </c>
      <c r="C81" s="52" t="n"/>
      <c r="D81" s="52" t="n"/>
      <c r="E81" s="5">
        <f>IF(OR(C81="",D81=""),"",(D81-C81)*1440)</f>
        <v/>
      </c>
      <c r="F81" s="8" t="n"/>
      <c r="G81" s="8" t="n"/>
      <c r="H81" s="9" t="n"/>
      <c r="I81" s="8" t="n"/>
      <c r="J81" s="8" t="n"/>
      <c r="K81" s="8" t="n"/>
      <c r="L81" s="8" t="n"/>
      <c r="M81" s="8" t="n"/>
      <c r="N81" s="8" t="n"/>
      <c r="O81" s="8" t="n"/>
      <c r="P81" s="8" t="n"/>
      <c r="Q81" s="9" t="n"/>
    </row>
    <row r="82" ht="19.5" customHeight="1">
      <c r="A82" s="51">
        <f>IF($B$3="","",$B$3+3)</f>
        <v/>
      </c>
      <c r="B82" s="6" t="inlineStr">
        <is>
          <t>목</t>
        </is>
      </c>
      <c r="C82" s="52" t="n"/>
      <c r="D82" s="52" t="n"/>
      <c r="E82" s="5">
        <f>IF(OR(C82="",D82=""),"",(D82-C82)*1440)</f>
        <v/>
      </c>
      <c r="F82" s="8" t="n"/>
      <c r="G82" s="8" t="n"/>
      <c r="H82" s="9" t="n"/>
      <c r="I82" s="8" t="n"/>
      <c r="J82" s="8" t="n"/>
      <c r="K82" s="8" t="n"/>
      <c r="L82" s="8" t="n"/>
      <c r="M82" s="8" t="n"/>
      <c r="N82" s="8" t="n"/>
      <c r="O82" s="8" t="n"/>
      <c r="P82" s="8" t="n"/>
      <c r="Q82" s="9" t="n"/>
    </row>
    <row r="83" ht="19.5" customHeight="1">
      <c r="A83" s="51">
        <f>IF($B$3="","",$B$3+3)</f>
        <v/>
      </c>
      <c r="B83" s="6" t="inlineStr">
        <is>
          <t>목</t>
        </is>
      </c>
      <c r="C83" s="52" t="n"/>
      <c r="D83" s="52" t="n"/>
      <c r="E83" s="5">
        <f>IF(OR(C83="",D83=""),"",(D83-C83)*1440)</f>
        <v/>
      </c>
      <c r="F83" s="8" t="n"/>
      <c r="G83" s="8" t="n"/>
      <c r="H83" s="9" t="n"/>
      <c r="I83" s="8" t="n"/>
      <c r="J83" s="8" t="n"/>
      <c r="K83" s="8" t="n"/>
      <c r="L83" s="8" t="n"/>
      <c r="M83" s="8" t="n"/>
      <c r="N83" s="8" t="n"/>
      <c r="O83" s="8" t="n"/>
      <c r="P83" s="8" t="n"/>
      <c r="Q83" s="9" t="n"/>
    </row>
    <row r="84" ht="19.5" customHeight="1">
      <c r="A84" s="51">
        <f>IF($B$3="","",$B$3+3)</f>
        <v/>
      </c>
      <c r="B84" s="6" t="inlineStr">
        <is>
          <t>목</t>
        </is>
      </c>
      <c r="C84" s="52" t="n"/>
      <c r="D84" s="52" t="n"/>
      <c r="E84" s="5">
        <f>IF(OR(C84="",D84=""),"",(D84-C84)*1440)</f>
        <v/>
      </c>
      <c r="F84" s="8" t="n"/>
      <c r="G84" s="8" t="n"/>
      <c r="H84" s="9" t="n"/>
      <c r="I84" s="8" t="n"/>
      <c r="J84" s="8" t="n"/>
      <c r="K84" s="8" t="n"/>
      <c r="L84" s="8" t="n"/>
      <c r="M84" s="8" t="n"/>
      <c r="N84" s="8" t="n"/>
      <c r="O84" s="8" t="n"/>
      <c r="P84" s="8" t="n"/>
      <c r="Q84" s="9" t="n"/>
    </row>
    <row r="85" ht="19.5" customHeight="1">
      <c r="A85" s="51">
        <f>IF($B$3="","",$B$3+3)</f>
        <v/>
      </c>
      <c r="B85" s="6" t="inlineStr">
        <is>
          <t>목</t>
        </is>
      </c>
      <c r="C85" s="52" t="n"/>
      <c r="D85" s="52" t="n"/>
      <c r="E85" s="5">
        <f>IF(OR(C85="",D85=""),"",(D85-C85)*1440)</f>
        <v/>
      </c>
      <c r="F85" s="8" t="n"/>
      <c r="G85" s="8" t="n"/>
      <c r="H85" s="9" t="n"/>
      <c r="I85" s="8" t="n"/>
      <c r="J85" s="8" t="n"/>
      <c r="K85" s="8" t="n"/>
      <c r="L85" s="8" t="n"/>
      <c r="M85" s="8" t="n"/>
      <c r="N85" s="8" t="n"/>
      <c r="O85" s="8" t="n"/>
      <c r="P85" s="8" t="n"/>
      <c r="Q85" s="9" t="n"/>
    </row>
    <row r="86" ht="19.5" customHeight="1">
      <c r="A86" s="51">
        <f>IF($B$3="","",$B$3+3)</f>
        <v/>
      </c>
      <c r="B86" s="6" t="inlineStr">
        <is>
          <t>목(추가)</t>
        </is>
      </c>
      <c r="C86" s="52" t="n"/>
      <c r="D86" s="52" t="n"/>
      <c r="E86" s="5">
        <f>IF(OR(C86="",D86=""),"",(D86-C86)*1440)</f>
        <v/>
      </c>
      <c r="F86" s="8" t="n"/>
      <c r="G86" s="8" t="n"/>
      <c r="H86" s="9" t="n"/>
      <c r="I86" s="8" t="n"/>
      <c r="J86" s="8" t="n"/>
      <c r="K86" s="8" t="n"/>
      <c r="L86" s="8" t="n"/>
      <c r="M86" s="8" t="n"/>
      <c r="N86" s="8" t="n"/>
      <c r="O86" s="8" t="n"/>
      <c r="P86" s="8" t="n"/>
      <c r="Q86" s="9" t="n"/>
    </row>
    <row r="87" ht="19.5" customHeight="1">
      <c r="A87" s="51">
        <f>IF($B$3="","",$B$3+3)</f>
        <v/>
      </c>
      <c r="B87" s="6" t="inlineStr">
        <is>
          <t>목(추가)</t>
        </is>
      </c>
      <c r="C87" s="52" t="n"/>
      <c r="D87" s="52" t="n"/>
      <c r="E87" s="5">
        <f>IF(OR(C87="",D87=""),"",(D87-C87)*1440)</f>
        <v/>
      </c>
      <c r="F87" s="8" t="n"/>
      <c r="G87" s="8" t="n"/>
      <c r="H87" s="9" t="n"/>
      <c r="I87" s="8" t="n"/>
      <c r="J87" s="8" t="n"/>
      <c r="K87" s="8" t="n"/>
      <c r="L87" s="8" t="n"/>
      <c r="M87" s="8" t="n"/>
      <c r="N87" s="8" t="n"/>
      <c r="O87" s="8" t="n"/>
      <c r="P87" s="8" t="n"/>
      <c r="Q87" s="9" t="n"/>
    </row>
    <row r="88" ht="19.5" customHeight="1">
      <c r="A88" s="51">
        <f>IF($B$3="","",$B$3+4)</f>
        <v/>
      </c>
      <c r="B88" s="6" t="inlineStr">
        <is>
          <t>금</t>
        </is>
      </c>
      <c r="C88" s="52" t="n">
        <v>0.375</v>
      </c>
      <c r="D88" s="52" t="n">
        <v>0.4583333333333333</v>
      </c>
      <c r="E88" s="5">
        <f>IF(OR(C88="",D88=""),"",(D88-C88)*1440)</f>
        <v/>
      </c>
      <c r="F88" s="8" t="inlineStr">
        <is>
          <t>기타·행정</t>
        </is>
      </c>
      <c r="G88" s="8" t="inlineStr">
        <is>
          <t>ETC-04 이동·외근</t>
        </is>
      </c>
      <c r="H88" s="9" t="inlineStr">
        <is>
          <t>부산 대리점 방문 이동(사무실 → 부산)</t>
        </is>
      </c>
      <c r="I88" s="8" t="inlineStr">
        <is>
          <t>대리점(가나랜드·겸남지사)</t>
        </is>
      </c>
      <c r="J88" s="8" t="n"/>
      <c r="K88" s="8" t="n"/>
      <c r="L88" s="8" t="n"/>
      <c r="M88" s="8" t="n"/>
      <c r="N88" s="8" t="inlineStr">
        <is>
          <t>분기/비정기</t>
        </is>
      </c>
      <c r="O88" s="8" t="inlineStr">
        <is>
          <t>정형(매뉴얼화 가능)</t>
        </is>
      </c>
      <c r="P88" s="8" t="inlineStr">
        <is>
          <t>아마도 중복</t>
        </is>
      </c>
      <c r="Q88" s="9" t="inlineStr">
        <is>
          <t>인근 대리점 방문 일정 묶어 이동시간 절감</t>
        </is>
      </c>
    </row>
    <row r="89" ht="19.5" customHeight="1">
      <c r="A89" s="51">
        <f>IF($B$3="","",$B$3+4)</f>
        <v/>
      </c>
      <c r="B89" s="6" t="inlineStr">
        <is>
          <t>금</t>
        </is>
      </c>
      <c r="C89" s="52" t="n">
        <v>0.4583333333333333</v>
      </c>
      <c r="D89" s="52" t="n">
        <v>0.5</v>
      </c>
      <c r="E89" s="5">
        <f>IF(OR(C89="",D89=""),"",(D89-C89)*1440)</f>
        <v/>
      </c>
      <c r="F89" s="8" t="inlineStr">
        <is>
          <t>파트너·대리점관리</t>
        </is>
      </c>
      <c r="G89" s="8" t="inlineStr">
        <is>
          <t>PTR-01 대리점·파트너사 방문·미팅</t>
        </is>
      </c>
      <c r="H89" s="9" t="inlineStr">
        <is>
          <t>가나랜드 대리점 방문 미팅 — 판매 현황·요청사항 청취</t>
        </is>
      </c>
      <c r="I89" s="8" t="inlineStr">
        <is>
          <t>가나랜드</t>
        </is>
      </c>
      <c r="J89" s="8" t="n"/>
      <c r="K89" s="8" t="n"/>
      <c r="L89" s="8" t="inlineStr">
        <is>
          <t>가나랜드</t>
        </is>
      </c>
      <c r="M89" s="8" t="inlineStr">
        <is>
          <t>방문 미팅 기록</t>
        </is>
      </c>
      <c r="N89" s="8" t="inlineStr">
        <is>
          <t>분기/비정기</t>
        </is>
      </c>
      <c r="O89" s="8" t="inlineStr">
        <is>
          <t>반정형</t>
        </is>
      </c>
      <c r="P89" s="8" t="inlineStr">
        <is>
          <t>모름</t>
        </is>
      </c>
      <c r="Q89" s="9" t="inlineStr">
        <is>
          <t>대리점 방문 결과를 공용 대리점 카드에 기록·공유</t>
        </is>
      </c>
    </row>
    <row r="90" ht="19.5" customHeight="1">
      <c r="A90" s="51">
        <f>IF($B$3="","",$B$3+4)</f>
        <v/>
      </c>
      <c r="B90" s="6" t="inlineStr">
        <is>
          <t>금</t>
        </is>
      </c>
      <c r="C90" s="52" t="n">
        <v>0.5</v>
      </c>
      <c r="D90" s="52" t="n">
        <v>0.5416666666666666</v>
      </c>
      <c r="E90" s="5">
        <f>IF(OR(C90="",D90=""),"",(D90-C90)*1440)</f>
        <v/>
      </c>
      <c r="F90" s="8" t="inlineStr">
        <is>
          <t>기타·행정</t>
        </is>
      </c>
      <c r="G90" s="8" t="inlineStr">
        <is>
          <t>ETC-05 휴게·점심</t>
        </is>
      </c>
      <c r="H90" s="9" t="inlineStr">
        <is>
          <t>점심 및 휴게</t>
        </is>
      </c>
      <c r="I90" s="8" t="n"/>
      <c r="J90" s="8" t="n"/>
      <c r="K90" s="8" t="n"/>
      <c r="L90" s="8" t="n"/>
      <c r="M90" s="8" t="n"/>
      <c r="N90" s="8" t="inlineStr">
        <is>
          <t>매일</t>
        </is>
      </c>
      <c r="O90" s="8" t="inlineStr">
        <is>
          <t>정형(매뉴얼화 가능)</t>
        </is>
      </c>
      <c r="P90" s="8" t="inlineStr">
        <is>
          <t>예 - 확실히 중복</t>
        </is>
      </c>
      <c r="Q90" s="9" t="n"/>
    </row>
    <row r="91" ht="19.5" customHeight="1">
      <c r="A91" s="51">
        <f>IF($B$3="","",$B$3+4)</f>
        <v/>
      </c>
      <c r="B91" s="6" t="inlineStr">
        <is>
          <t>금</t>
        </is>
      </c>
      <c r="C91" s="52" t="n">
        <v>0.5416666666666666</v>
      </c>
      <c r="D91" s="52" t="n">
        <v>0.6041666666666666</v>
      </c>
      <c r="E91" s="5">
        <f>IF(OR(C91="",D91=""),"",(D91-C91)*1440)</f>
        <v/>
      </c>
      <c r="F91" s="8" t="inlineStr">
        <is>
          <t>파트너·대리점관리</t>
        </is>
      </c>
      <c r="G91" s="8" t="inlineStr">
        <is>
          <t>PTR-02 대리점·파트너 인터뷰·VOC 수집</t>
        </is>
      </c>
      <c r="H91" s="9" t="inlineStr">
        <is>
          <t>가나랜드 인터뷰 진행 및 현장 촬영(질문지 기반 VOC 수집)</t>
        </is>
      </c>
      <c r="I91" s="8" t="inlineStr">
        <is>
          <t>가나랜드</t>
        </is>
      </c>
      <c r="J91" s="8" t="n"/>
      <c r="K91" s="8" t="n"/>
      <c r="L91" s="8" t="inlineStr">
        <is>
          <t>가나랜드</t>
        </is>
      </c>
      <c r="M91" s="8" t="inlineStr">
        <is>
          <t>인터뷰 기록·현장 촬영물</t>
        </is>
      </c>
      <c r="N91" s="8" t="inlineStr">
        <is>
          <t>분기/비정기</t>
        </is>
      </c>
      <c r="O91" s="8" t="inlineStr">
        <is>
          <t>반정형</t>
        </is>
      </c>
      <c r="P91" s="8" t="inlineStr">
        <is>
          <t>모름</t>
        </is>
      </c>
      <c r="Q91" s="9" t="inlineStr">
        <is>
          <t>인터뷰 VOC를 상품·마케팅 기획 입력값으로 자동 연결</t>
        </is>
      </c>
    </row>
    <row r="92" ht="19.5" customHeight="1">
      <c r="A92" s="51">
        <f>IF($B$3="","",$B$3+4)</f>
        <v/>
      </c>
      <c r="B92" s="6" t="inlineStr">
        <is>
          <t>금</t>
        </is>
      </c>
      <c r="C92" s="52" t="n">
        <v>0.6041666666666666</v>
      </c>
      <c r="D92" s="52" t="n">
        <v>0.625</v>
      </c>
      <c r="E92" s="5">
        <f>IF(OR(C92="",D92=""),"",(D92-C92)*1440)</f>
        <v/>
      </c>
      <c r="F92" s="8" t="inlineStr">
        <is>
          <t>기타·행정</t>
        </is>
      </c>
      <c r="G92" s="8" t="inlineStr">
        <is>
          <t>ETC-04 이동·외근</t>
        </is>
      </c>
      <c r="H92" s="9" t="inlineStr">
        <is>
          <t>가나랜드 → 겸남지사 이동</t>
        </is>
      </c>
      <c r="I92" s="8" t="inlineStr">
        <is>
          <t>대리점(겸남지사)</t>
        </is>
      </c>
      <c r="J92" s="8" t="n"/>
      <c r="K92" s="8" t="n"/>
      <c r="L92" s="8" t="n"/>
      <c r="M92" s="8" t="n"/>
      <c r="N92" s="8" t="inlineStr">
        <is>
          <t>분기/비정기</t>
        </is>
      </c>
      <c r="O92" s="8" t="inlineStr">
        <is>
          <t>정형(매뉴얼화 가능)</t>
        </is>
      </c>
      <c r="P92" s="8" t="inlineStr">
        <is>
          <t>아마도 중복</t>
        </is>
      </c>
      <c r="Q92" s="9" t="inlineStr">
        <is>
          <t>인근 대리점 방문 일정 묶어 이동시간 절감</t>
        </is>
      </c>
    </row>
    <row r="93" ht="19.5" customHeight="1">
      <c r="A93" s="51">
        <f>IF($B$3="","",$B$3+4)</f>
        <v/>
      </c>
      <c r="B93" s="6" t="inlineStr">
        <is>
          <t>금</t>
        </is>
      </c>
      <c r="C93" s="52" t="n">
        <v>0.625</v>
      </c>
      <c r="D93" s="52" t="n">
        <v>0.6875</v>
      </c>
      <c r="E93" s="5">
        <f>IF(OR(C93="",D93=""),"",(D93-C93)*1440)</f>
        <v/>
      </c>
      <c r="F93" s="8" t="inlineStr">
        <is>
          <t>파트너·대리점관리</t>
        </is>
      </c>
      <c r="G93" s="8" t="inlineStr">
        <is>
          <t>PTR-01 대리점·파트너사 방문·미팅</t>
        </is>
      </c>
      <c r="H93" s="9" t="inlineStr">
        <is>
          <t>겸남지사 방문 미팅 및 인터뷰 진행</t>
        </is>
      </c>
      <c r="I93" s="8" t="inlineStr">
        <is>
          <t>겸남지사</t>
        </is>
      </c>
      <c r="J93" s="8" t="n"/>
      <c r="K93" s="8" t="n"/>
      <c r="L93" s="8" t="inlineStr">
        <is>
          <t>겸남지사</t>
        </is>
      </c>
      <c r="M93" s="8" t="inlineStr">
        <is>
          <t>방문 미팅·인터뷰 기록</t>
        </is>
      </c>
      <c r="N93" s="8" t="inlineStr">
        <is>
          <t>분기/비정기</t>
        </is>
      </c>
      <c r="O93" s="8" t="inlineStr">
        <is>
          <t>반정형</t>
        </is>
      </c>
      <c r="P93" s="8" t="inlineStr">
        <is>
          <t>모름</t>
        </is>
      </c>
      <c r="Q93" s="9" t="inlineStr">
        <is>
          <t>대리점 방문 결과를 공용 대리점 카드에 기록·공유</t>
        </is>
      </c>
    </row>
    <row r="94" ht="19.5" customHeight="1">
      <c r="A94" s="51">
        <f>IF($B$3="","",$B$3+4)</f>
        <v/>
      </c>
      <c r="B94" s="6" t="inlineStr">
        <is>
          <t>금</t>
        </is>
      </c>
      <c r="C94" s="52" t="n">
        <v>0.6875</v>
      </c>
      <c r="D94" s="52" t="n">
        <v>0.75</v>
      </c>
      <c r="E94" s="5">
        <f>IF(OR(C94="",D94=""),"",(D94-C94)*1440)</f>
        <v/>
      </c>
      <c r="F94" s="8" t="inlineStr">
        <is>
          <t>기타·행정</t>
        </is>
      </c>
      <c r="G94" s="8" t="inlineStr">
        <is>
          <t>ETC-04 이동·외근</t>
        </is>
      </c>
      <c r="H94" s="9" t="inlineStr">
        <is>
          <t>부산 → 사무실 복귀 이동</t>
        </is>
      </c>
      <c r="I94" s="8" t="n"/>
      <c r="J94" s="8" t="n"/>
      <c r="K94" s="8" t="n"/>
      <c r="L94" s="8" t="n"/>
      <c r="M94" s="8" t="n"/>
      <c r="N94" s="8" t="inlineStr">
        <is>
          <t>분기/비정기</t>
        </is>
      </c>
      <c r="O94" s="8" t="inlineStr">
        <is>
          <t>정형(매뉴얼화 가능)</t>
        </is>
      </c>
      <c r="P94" s="8" t="inlineStr">
        <is>
          <t>아마도 중복</t>
        </is>
      </c>
      <c r="Q94" s="9" t="inlineStr">
        <is>
          <t>인근 대리점 방문 일정 묶어 이동시간 절감</t>
        </is>
      </c>
    </row>
    <row r="95" ht="19.5" customHeight="1">
      <c r="A95" s="51">
        <f>IF($B$3="","",$B$3+4)</f>
        <v/>
      </c>
      <c r="B95" s="6" t="inlineStr">
        <is>
          <t>금</t>
        </is>
      </c>
      <c r="C95" s="52" t="n"/>
      <c r="D95" s="52" t="n"/>
      <c r="E95" s="5">
        <f>IF(OR(C95="",D95=""),"",(D95-C95)*1440)</f>
        <v/>
      </c>
      <c r="F95" s="8" t="n"/>
      <c r="G95" s="8" t="n"/>
      <c r="H95" s="9" t="n"/>
      <c r="I95" s="8" t="n"/>
      <c r="J95" s="8" t="n"/>
      <c r="K95" s="8" t="n"/>
      <c r="L95" s="8" t="n"/>
      <c r="M95" s="8" t="n"/>
      <c r="N95" s="8" t="n"/>
      <c r="O95" s="8" t="n"/>
      <c r="P95" s="8" t="n"/>
      <c r="Q95" s="9" t="n"/>
    </row>
    <row r="96" ht="19.5" customHeight="1">
      <c r="A96" s="51">
        <f>IF($B$3="","",$B$3+4)</f>
        <v/>
      </c>
      <c r="B96" s="6" t="inlineStr">
        <is>
          <t>금</t>
        </is>
      </c>
      <c r="C96" s="52" t="n"/>
      <c r="D96" s="52" t="n"/>
      <c r="E96" s="5">
        <f>IF(OR(C96="",D96=""),"",(D96-C96)*1440)</f>
        <v/>
      </c>
      <c r="F96" s="8" t="n"/>
      <c r="G96" s="8" t="n"/>
      <c r="H96" s="9" t="n"/>
      <c r="I96" s="8" t="n"/>
      <c r="J96" s="8" t="n"/>
      <c r="K96" s="8" t="n"/>
      <c r="L96" s="8" t="n"/>
      <c r="M96" s="8" t="n"/>
      <c r="N96" s="8" t="n"/>
      <c r="O96" s="8" t="n"/>
      <c r="P96" s="8" t="n"/>
      <c r="Q96" s="9" t="n"/>
    </row>
    <row r="97" ht="19.5" customHeight="1">
      <c r="A97" s="51">
        <f>IF($B$3="","",$B$3+4)</f>
        <v/>
      </c>
      <c r="B97" s="6" t="inlineStr">
        <is>
          <t>금</t>
        </is>
      </c>
      <c r="C97" s="52" t="n"/>
      <c r="D97" s="52" t="n"/>
      <c r="E97" s="5">
        <f>IF(OR(C97="",D97=""),"",(D97-C97)*1440)</f>
        <v/>
      </c>
      <c r="F97" s="8" t="n"/>
      <c r="G97" s="8" t="n"/>
      <c r="H97" s="9" t="n"/>
      <c r="I97" s="8" t="n"/>
      <c r="J97" s="8" t="n"/>
      <c r="K97" s="8" t="n"/>
      <c r="L97" s="8" t="n"/>
      <c r="M97" s="8" t="n"/>
      <c r="N97" s="8" t="n"/>
      <c r="O97" s="8" t="n"/>
      <c r="P97" s="8" t="n"/>
      <c r="Q97" s="9" t="n"/>
    </row>
    <row r="98" ht="19.5" customHeight="1">
      <c r="A98" s="51">
        <f>IF($B$3="","",$B$3+4)</f>
        <v/>
      </c>
      <c r="B98" s="6" t="inlineStr">
        <is>
          <t>금</t>
        </is>
      </c>
      <c r="C98" s="52" t="n"/>
      <c r="D98" s="52" t="n"/>
      <c r="E98" s="5">
        <f>IF(OR(C98="",D98=""),"",(D98-C98)*1440)</f>
        <v/>
      </c>
      <c r="F98" s="8" t="n"/>
      <c r="G98" s="8" t="n"/>
      <c r="H98" s="9" t="n"/>
      <c r="I98" s="8" t="n"/>
      <c r="J98" s="8" t="n"/>
      <c r="K98" s="8" t="n"/>
      <c r="L98" s="8" t="n"/>
      <c r="M98" s="8" t="n"/>
      <c r="N98" s="8" t="n"/>
      <c r="O98" s="8" t="n"/>
      <c r="P98" s="8" t="n"/>
      <c r="Q98" s="9" t="n"/>
    </row>
    <row r="99" ht="19.5" customHeight="1">
      <c r="A99" s="51">
        <f>IF($B$3="","",$B$3+4)</f>
        <v/>
      </c>
      <c r="B99" s="6" t="inlineStr">
        <is>
          <t>금</t>
        </is>
      </c>
      <c r="C99" s="52" t="n"/>
      <c r="D99" s="52" t="n"/>
      <c r="E99" s="5">
        <f>IF(OR(C99="",D99=""),"",(D99-C99)*1440)</f>
        <v/>
      </c>
      <c r="F99" s="8" t="n"/>
      <c r="G99" s="8" t="n"/>
      <c r="H99" s="9" t="n"/>
      <c r="I99" s="8" t="n"/>
      <c r="J99" s="8" t="n"/>
      <c r="K99" s="8" t="n"/>
      <c r="L99" s="8" t="n"/>
      <c r="M99" s="8" t="n"/>
      <c r="N99" s="8" t="n"/>
      <c r="O99" s="8" t="n"/>
      <c r="P99" s="8" t="n"/>
      <c r="Q99" s="9" t="n"/>
    </row>
    <row r="100" ht="19.5" customHeight="1">
      <c r="A100" s="51">
        <f>IF($B$3="","",$B$3+4)</f>
        <v/>
      </c>
      <c r="B100" s="6" t="inlineStr">
        <is>
          <t>금</t>
        </is>
      </c>
      <c r="C100" s="52" t="n"/>
      <c r="D100" s="52" t="n"/>
      <c r="E100" s="5">
        <f>IF(OR(C100="",D100=""),"",(D100-C100)*1440)</f>
        <v/>
      </c>
      <c r="F100" s="8" t="n"/>
      <c r="G100" s="8" t="n"/>
      <c r="H100" s="9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9" t="n"/>
    </row>
    <row r="101" ht="19.5" customHeight="1">
      <c r="A101" s="51">
        <f>IF($B$3="","",$B$3+4)</f>
        <v/>
      </c>
      <c r="B101" s="6" t="inlineStr">
        <is>
          <t>금</t>
        </is>
      </c>
      <c r="C101" s="52" t="n"/>
      <c r="D101" s="52" t="n"/>
      <c r="E101" s="5">
        <f>IF(OR(C101="",D101=""),"",(D101-C101)*1440)</f>
        <v/>
      </c>
      <c r="F101" s="8" t="n"/>
      <c r="G101" s="8" t="n"/>
      <c r="H101" s="9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9" t="n"/>
    </row>
    <row r="102" ht="19.5" customHeight="1">
      <c r="A102" s="51">
        <f>IF($B$3="","",$B$3+4)</f>
        <v/>
      </c>
      <c r="B102" s="6" t="inlineStr">
        <is>
          <t>금</t>
        </is>
      </c>
      <c r="C102" s="52" t="n"/>
      <c r="D102" s="52" t="n"/>
      <c r="E102" s="5">
        <f>IF(OR(C102="",D102=""),"",(D102-C102)*1440)</f>
        <v/>
      </c>
      <c r="F102" s="8" t="n"/>
      <c r="G102" s="8" t="n"/>
      <c r="H102" s="9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9" t="n"/>
    </row>
    <row r="103" ht="19.5" customHeight="1">
      <c r="A103" s="51">
        <f>IF($B$3="","",$B$3+4)</f>
        <v/>
      </c>
      <c r="B103" s="6" t="inlineStr">
        <is>
          <t>금</t>
        </is>
      </c>
      <c r="C103" s="52" t="n"/>
      <c r="D103" s="52" t="n"/>
      <c r="E103" s="5">
        <f>IF(OR(C103="",D103=""),"",(D103-C103)*1440)</f>
        <v/>
      </c>
      <c r="F103" s="8" t="n"/>
      <c r="G103" s="8" t="n"/>
      <c r="H103" s="9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9" t="n"/>
    </row>
    <row r="104" ht="19.5" customHeight="1">
      <c r="A104" s="51">
        <f>IF($B$3="","",$B$3+4)</f>
        <v/>
      </c>
      <c r="B104" s="6" t="inlineStr">
        <is>
          <t>금</t>
        </is>
      </c>
      <c r="C104" s="52" t="n"/>
      <c r="D104" s="52" t="n"/>
      <c r="E104" s="5">
        <f>IF(OR(C104="",D104=""),"",(D104-C104)*1440)</f>
        <v/>
      </c>
      <c r="F104" s="8" t="n"/>
      <c r="G104" s="8" t="n"/>
      <c r="H104" s="9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9" t="n"/>
    </row>
    <row r="105" ht="19.5" customHeight="1">
      <c r="A105" s="51">
        <f>IF($B$3="","",$B$3+4)</f>
        <v/>
      </c>
      <c r="B105" s="6" t="inlineStr">
        <is>
          <t>금</t>
        </is>
      </c>
      <c r="C105" s="52" t="n"/>
      <c r="D105" s="52" t="n"/>
      <c r="E105" s="5">
        <f>IF(OR(C105="",D105=""),"",(D105-C105)*1440)</f>
        <v/>
      </c>
      <c r="F105" s="8" t="n"/>
      <c r="G105" s="8" t="n"/>
      <c r="H105" s="9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9" t="n"/>
    </row>
    <row r="106" ht="19.5" customHeight="1">
      <c r="A106" s="51">
        <f>IF($B$3="","",$B$3+4)</f>
        <v/>
      </c>
      <c r="B106" s="6" t="inlineStr">
        <is>
          <t>금(추가)</t>
        </is>
      </c>
      <c r="C106" s="52" t="n"/>
      <c r="D106" s="52" t="n"/>
      <c r="E106" s="5">
        <f>IF(OR(C106="",D106=""),"",(D106-C106)*1440)</f>
        <v/>
      </c>
      <c r="F106" s="8" t="n"/>
      <c r="G106" s="8" t="n"/>
      <c r="H106" s="9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9" t="n"/>
    </row>
    <row r="107" ht="19.5" customHeight="1">
      <c r="A107" s="51">
        <f>IF($B$3="","",$B$3+4)</f>
        <v/>
      </c>
      <c r="B107" s="6" t="inlineStr">
        <is>
          <t>금(추가)</t>
        </is>
      </c>
      <c r="C107" s="52" t="n"/>
      <c r="D107" s="52" t="n"/>
      <c r="E107" s="5">
        <f>IF(OR(C107="",D107=""),"",(D107-C107)*1440)</f>
        <v/>
      </c>
      <c r="F107" s="8" t="n"/>
      <c r="G107" s="8" t="n"/>
      <c r="H107" s="9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9" t="n"/>
    </row>
    <row r="109">
      <c r="A109" s="32" t="inlineStr">
        <is>
          <t>주간 합계</t>
        </is>
      </c>
      <c r="B109" s="45" t="n"/>
      <c r="C109" s="45" t="n"/>
      <c r="D109" s="53" t="n"/>
      <c r="E109" s="10">
        <f>SUM(E8:E107)</f>
        <v/>
      </c>
      <c r="F109" s="33">
        <f>"총 기록시간: "&amp;TEXT(E109/60,"0.0")&amp;"시간   |   휴게·점심 제외 실근무 기록: "&amp;TEXT((E109-SUMIF(G8:G107,"ETC-05*",E8:E107))/60,"0.0")&amp;"시간"</f>
        <v/>
      </c>
      <c r="G109" s="45" t="n"/>
      <c r="H109" s="45" t="n"/>
      <c r="I109" s="45" t="n"/>
      <c r="J109" s="45" t="n"/>
      <c r="K109" s="45" t="n"/>
      <c r="L109" s="45" t="n"/>
      <c r="M109" s="45" t="n"/>
      <c r="N109" s="45" t="n"/>
      <c r="O109" s="45" t="n"/>
      <c r="P109" s="45" t="n"/>
      <c r="Q109" s="45" t="n"/>
    </row>
  </sheetData>
  <autoFilter ref="A6:Q107"/>
  <mergeCells count="9">
    <mergeCell ref="F109:Q109"/>
    <mergeCell ref="D2:E2"/>
    <mergeCell ref="G2:H2"/>
    <mergeCell ref="A4:Q4"/>
    <mergeCell ref="A109:D109"/>
    <mergeCell ref="A1:Q1"/>
    <mergeCell ref="D3:E3"/>
    <mergeCell ref="G3:H3"/>
    <mergeCell ref="A5:Q5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F7:F107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G7:G107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N7:N107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O7:O107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P7:P107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B2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T10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baseColWidth="8" defaultColWidth="8.7109375" defaultRowHeight="15"/>
  <cols>
    <col width="14" customWidth="1" min="1" max="1"/>
    <col width="10" customWidth="1" min="2" max="2"/>
    <col width="14" customWidth="1" min="3" max="3"/>
    <col width="12" customWidth="1" min="4" max="4"/>
    <col width="6" customWidth="1" min="5" max="5"/>
    <col width="7" customWidth="1" min="6" max="7"/>
    <col width="9" customWidth="1" min="8" max="8"/>
    <col width="16" customWidth="1" min="9" max="9"/>
    <col width="32" customWidth="1" min="10" max="10"/>
    <col width="42" customWidth="1" min="11" max="11"/>
    <col width="20" customWidth="1" min="12" max="12"/>
    <col width="16" customWidth="1" min="13" max="14"/>
    <col width="18" customWidth="1" min="15" max="15"/>
    <col width="16" customWidth="1" min="16" max="16"/>
    <col width="12" customWidth="1" min="17" max="17"/>
    <col width="18" customWidth="1" min="18" max="18"/>
    <col width="16" customWidth="1" min="19" max="19"/>
    <col width="26" customWidth="1" min="20" max="20"/>
  </cols>
  <sheetData>
    <row r="1" ht="24" customHeight="1">
      <c r="A1" s="37" t="inlineStr">
        <is>
          <t>전사 취합 데이터 — 3개 팀 전원의 02시트 작성분을 여기에 '값'으로 붙여넣기 (3행부터)</t>
        </is>
      </c>
    </row>
    <row r="2" ht="30" customHeight="1">
      <c r="A2" s="18" t="inlineStr">
        <is>
          <t>소속팀</t>
        </is>
      </c>
      <c r="B2" s="18" t="inlineStr">
        <is>
          <t>이름</t>
        </is>
      </c>
      <c r="C2" s="18" t="inlineStr">
        <is>
          <t>직위/직무</t>
        </is>
      </c>
      <c r="D2" s="18" t="inlineStr">
        <is>
          <t>일자</t>
        </is>
      </c>
      <c r="E2" s="18" t="inlineStr">
        <is>
          <t>요일</t>
        </is>
      </c>
      <c r="F2" s="18" t="inlineStr">
        <is>
          <t>시작</t>
        </is>
      </c>
      <c r="G2" s="18" t="inlineStr">
        <is>
          <t>종료</t>
        </is>
      </c>
      <c r="H2" s="18" t="inlineStr">
        <is>
          <t>소요(분)</t>
        </is>
      </c>
      <c r="I2" s="18" t="inlineStr">
        <is>
          <t>업무 대분류</t>
        </is>
      </c>
      <c r="J2" s="18" t="inlineStr">
        <is>
          <t>업무 중분류</t>
        </is>
      </c>
      <c r="K2" s="18" t="inlineStr">
        <is>
          <t>업무 내용</t>
        </is>
      </c>
      <c r="L2" s="18" t="inlineStr">
        <is>
          <t>대상 브랜드/상품/채널</t>
        </is>
      </c>
      <c r="M2" s="18" t="inlineStr">
        <is>
          <t>사용 시스템·툴</t>
        </is>
      </c>
      <c r="N2" s="18" t="inlineStr">
        <is>
          <t>협업 대상(사내)</t>
        </is>
      </c>
      <c r="O2" s="18" t="inlineStr">
        <is>
          <t>협업 대상(사외)</t>
        </is>
      </c>
      <c r="P2" s="18" t="inlineStr">
        <is>
          <t>산출물</t>
        </is>
      </c>
      <c r="Q2" s="18" t="inlineStr">
        <is>
          <t>반복주기</t>
        </is>
      </c>
      <c r="R2" s="18" t="inlineStr">
        <is>
          <t>업무 성격</t>
        </is>
      </c>
      <c r="S2" s="18" t="inlineStr">
        <is>
          <t>타팀 중복예상</t>
        </is>
      </c>
      <c r="T2" s="18" t="inlineStr">
        <is>
          <t>개선·자동화 아이디어</t>
        </is>
      </c>
    </row>
    <row r="3">
      <c r="A3" s="23" t="inlineStr">
        <is>
          <t>브랜드커머스</t>
        </is>
      </c>
      <c r="B3" s="23" t="inlineStr">
        <is>
          <t>김송희</t>
        </is>
      </c>
      <c r="C3" s="23" t="inlineStr">
        <is>
          <t>브랜드커머스, 모여라딜 리드</t>
        </is>
      </c>
      <c r="D3" s="54" t="n">
        <v>46244</v>
      </c>
      <c r="E3" s="23" t="inlineStr">
        <is>
          <t>월</t>
        </is>
      </c>
      <c r="F3" s="55" t="n">
        <v>0.375</v>
      </c>
      <c r="G3" s="55" t="n">
        <v>0.3958333333333333</v>
      </c>
      <c r="H3" s="24">
        <f>IF(OR(F3="",G3=""),"",(G3-F3)*1440)</f>
        <v/>
      </c>
      <c r="I3" s="23" t="inlineStr">
        <is>
          <t>기타·행정</t>
        </is>
      </c>
      <c r="J3" s="24" t="inlineStr">
        <is>
          <t>ETC-01 메일·메신저 확인 및 회신</t>
        </is>
      </c>
      <c r="K3" s="24" t="inlineStr">
        <is>
          <t>출근 후 메일·메신저·업무보드 확인 및 회신</t>
        </is>
      </c>
      <c r="L3" s="24" t="inlineStr">
        <is>
          <t>전사</t>
        </is>
      </c>
      <c r="M3" s="23" t="inlineStr">
        <is>
          <t>POUR OS(업무보드)</t>
        </is>
      </c>
      <c r="N3" s="23" t="n"/>
      <c r="O3" s="23" t="n"/>
      <c r="P3" s="23" t="inlineStr">
        <is>
          <t>회신 처리</t>
        </is>
      </c>
      <c r="Q3" s="23" t="inlineStr">
        <is>
          <t>매일</t>
        </is>
      </c>
      <c r="R3" s="23" t="inlineStr">
        <is>
          <t>정형(매뉴얼화 가능)</t>
        </is>
      </c>
      <c r="S3" s="23" t="inlineStr">
        <is>
          <t>예 - 확실히 중복</t>
        </is>
      </c>
      <c r="T3" s="24" t="inlineStr">
        <is>
          <t>팀별 요청·공지를 업무보드 알림 하나로 일원화</t>
        </is>
      </c>
    </row>
    <row r="4">
      <c r="A4" s="8" t="inlineStr">
        <is>
          <t>브랜드커머스</t>
        </is>
      </c>
      <c r="B4" s="8" t="inlineStr">
        <is>
          <t>김송희</t>
        </is>
      </c>
      <c r="C4" s="8" t="inlineStr">
        <is>
          <t>브랜드커머스, 모여라딜 리드</t>
        </is>
      </c>
      <c r="D4" s="56" t="n">
        <v>46244</v>
      </c>
      <c r="E4" s="8" t="inlineStr">
        <is>
          <t>월</t>
        </is>
      </c>
      <c r="F4" s="57" t="n">
        <v>0.3958333333333333</v>
      </c>
      <c r="G4" s="57" t="n">
        <v>0.4166666666666667</v>
      </c>
      <c r="H4" s="7">
        <f>IF(OR(F4="",G4=""),"",(G4-F4)*1440)</f>
        <v/>
      </c>
      <c r="I4" s="8" t="inlineStr">
        <is>
          <t>CS·물류·재고</t>
        </is>
      </c>
      <c r="J4" s="8" t="inlineStr">
        <is>
          <t>OPS-06 일일 주문 확인·처리</t>
        </is>
      </c>
      <c r="K4" s="8" t="inlineStr">
        <is>
          <t>금일 주문건 확인 — 자사몰·오픈마켓 신규 주문 및 이상건 점검</t>
        </is>
      </c>
      <c r="L4" s="8" t="inlineStr">
        <is>
          <t>POUR스토어 / 자사몰·오픈마켓</t>
        </is>
      </c>
      <c r="M4" s="8" t="inlineStr">
        <is>
          <t>자사몰 관리자, 쿠팡 WING, 스마트스토어센터</t>
        </is>
      </c>
      <c r="N4" s="8" t="n"/>
      <c r="O4" s="8" t="n"/>
      <c r="P4" s="8" t="inlineStr">
        <is>
          <t>일일 주문 확인 내역</t>
        </is>
      </c>
      <c r="Q4" s="8" t="inlineStr">
        <is>
          <t>매일</t>
        </is>
      </c>
      <c r="R4" s="8" t="inlineStr">
        <is>
          <t>정형(매뉴얼화 가능)</t>
        </is>
      </c>
      <c r="S4" s="8" t="inlineStr">
        <is>
          <t>예 - 확실히 중복</t>
        </is>
      </c>
      <c r="T4" s="8" t="inlineStr">
        <is>
          <t>채널별 주문을 통합 주문판으로 자동 취합</t>
        </is>
      </c>
    </row>
    <row r="5">
      <c r="A5" s="8" t="inlineStr">
        <is>
          <t>브랜드커머스</t>
        </is>
      </c>
      <c r="B5" s="8" t="inlineStr">
        <is>
          <t>김송희</t>
        </is>
      </c>
      <c r="C5" s="8" t="inlineStr">
        <is>
          <t>브랜드커머스, 모여라딜 리드</t>
        </is>
      </c>
      <c r="D5" s="56" t="n">
        <v>46244</v>
      </c>
      <c r="E5" s="8" t="inlineStr">
        <is>
          <t>월</t>
        </is>
      </c>
      <c r="F5" s="57" t="n">
        <v>0.4166666666666667</v>
      </c>
      <c r="G5" s="57" t="n">
        <v>0.4583333333333333</v>
      </c>
      <c r="H5" s="7">
        <f>IF(OR(F5="",G5=""),"",(G5-F5)*1440)</f>
        <v/>
      </c>
      <c r="I5" s="8" t="inlineStr">
        <is>
          <t>마케팅·광고운영</t>
        </is>
      </c>
      <c r="J5" s="8" t="inlineStr">
        <is>
          <t>MKT-08 제휴마케팅(링크프라이스 등) 운영·성과확인</t>
        </is>
      </c>
      <c r="K5" s="8" t="inlineStr">
        <is>
          <t>링크프라이스 제휴광고 집행 현황 확인 및 신제품 검색 시 상위노출 여부 점검</t>
        </is>
      </c>
      <c r="L5" s="8" t="inlineStr">
        <is>
          <t>POUR스토어 / 링크프라이스·네이버쇼핑</t>
        </is>
      </c>
      <c r="M5" s="8" t="inlineStr">
        <is>
          <t>링크프라이스 관리자, 네이버쇼핑</t>
        </is>
      </c>
      <c r="N5" s="8" t="n"/>
      <c r="O5" s="8" t="inlineStr">
        <is>
          <t>링크프라이스</t>
        </is>
      </c>
      <c r="P5" s="8" t="inlineStr">
        <is>
          <t>제휴광고 현황 점검 메모</t>
        </is>
      </c>
      <c r="Q5" s="8" t="inlineStr">
        <is>
          <t>주 1회</t>
        </is>
      </c>
      <c r="R5" s="8" t="inlineStr">
        <is>
          <t>반정형</t>
        </is>
      </c>
      <c r="S5" s="8" t="inlineStr">
        <is>
          <t>아마도 중복</t>
        </is>
      </c>
      <c r="T5" s="8" t="inlineStr">
        <is>
          <t>제휴·검색광고 성과를 본부 공용 대시보드로 자동 수집</t>
        </is>
      </c>
    </row>
    <row r="6">
      <c r="A6" s="8" t="inlineStr">
        <is>
          <t>브랜드커머스</t>
        </is>
      </c>
      <c r="B6" s="8" t="inlineStr">
        <is>
          <t>김송희</t>
        </is>
      </c>
      <c r="C6" s="8" t="inlineStr">
        <is>
          <t>브랜드커머스, 모여라딜 리드</t>
        </is>
      </c>
      <c r="D6" s="56" t="n">
        <v>46244</v>
      </c>
      <c r="E6" s="8" t="inlineStr">
        <is>
          <t>월</t>
        </is>
      </c>
      <c r="F6" s="57" t="n">
        <v>0.4583333333333333</v>
      </c>
      <c r="G6" s="57" t="n">
        <v>0.4791666666666667</v>
      </c>
      <c r="H6" s="7">
        <f>IF(OR(F6="",G6=""),"",(G6-F6)*1440)</f>
        <v/>
      </c>
      <c r="I6" s="8" t="inlineStr">
        <is>
          <t>마케팅·광고운영</t>
        </is>
      </c>
      <c r="J6" s="8" t="inlineStr">
        <is>
          <t>MKT-05 프로모션·기획전 기획</t>
        </is>
      </c>
      <c r="K6" s="8" t="inlineStr">
        <is>
          <t>8월 프로모션 기획 요청 — 민지님께 기획 방향 전달 및 작성 요청</t>
        </is>
      </c>
      <c r="L6" s="8" t="inlineStr">
        <is>
          <t>POUR스토어</t>
        </is>
      </c>
      <c r="M6" s="8" t="inlineStr">
        <is>
          <t>POUR OS(업무보드)</t>
        </is>
      </c>
      <c r="N6" s="8" t="inlineStr">
        <is>
          <t>김민지</t>
        </is>
      </c>
      <c r="O6" s="8" t="n"/>
      <c r="P6" s="8" t="inlineStr">
        <is>
          <t>프로모션 기획 요청서</t>
        </is>
      </c>
      <c r="Q6" s="8" t="inlineStr">
        <is>
          <t>월 1회</t>
        </is>
      </c>
      <c r="R6" s="8" t="inlineStr">
        <is>
          <t>반정형</t>
        </is>
      </c>
      <c r="S6" s="8" t="inlineStr">
        <is>
          <t>아마도 중복</t>
        </is>
      </c>
      <c r="T6" s="8" t="inlineStr">
        <is>
          <t>프로모션 기획 요청 양식 표준화 + 본부 공용 프로모션 캘린더</t>
        </is>
      </c>
    </row>
    <row r="7">
      <c r="A7" s="8" t="inlineStr">
        <is>
          <t>브랜드커머스</t>
        </is>
      </c>
      <c r="B7" s="8" t="inlineStr">
        <is>
          <t>김송희</t>
        </is>
      </c>
      <c r="C7" s="8" t="inlineStr">
        <is>
          <t>브랜드커머스, 모여라딜 리드</t>
        </is>
      </c>
      <c r="D7" s="56" t="n">
        <v>46244</v>
      </c>
      <c r="E7" s="8" t="inlineStr">
        <is>
          <t>월</t>
        </is>
      </c>
      <c r="F7" s="57" t="n">
        <v>0.4791666666666667</v>
      </c>
      <c r="G7" s="57" t="n">
        <v>0.5</v>
      </c>
      <c r="H7" s="7">
        <f>IF(OR(F7="",G7=""),"",(G7-F7)*1440)</f>
        <v/>
      </c>
      <c r="I7" s="8" t="inlineStr">
        <is>
          <t>파트너·대리점관리</t>
        </is>
      </c>
      <c r="J7" s="8" t="inlineStr">
        <is>
          <t>PTR-02 대리점·파트너 인터뷰·VOC 수집</t>
        </is>
      </c>
      <c r="K7" s="8" t="inlineStr">
        <is>
          <t>금요일 부산 대리점 방문 미팅·인터뷰 질문지 제작 요청(란님께)</t>
        </is>
      </c>
      <c r="L7" s="8" t="inlineStr">
        <is>
          <t>대리점(가나랜드·겸남지사)</t>
        </is>
      </c>
      <c r="M7" s="8" t="inlineStr">
        <is>
          <t>POUR OS(업무보드)</t>
        </is>
      </c>
      <c r="N7" s="8" t="inlineStr">
        <is>
          <t>이란</t>
        </is>
      </c>
      <c r="O7" s="8" t="n"/>
      <c r="P7" s="8" t="inlineStr">
        <is>
          <t>대리점 인터뷰 질문지</t>
        </is>
      </c>
      <c r="Q7" s="8" t="inlineStr">
        <is>
          <t>분기/비정기</t>
        </is>
      </c>
      <c r="R7" s="8" t="inlineStr">
        <is>
          <t>반정형</t>
        </is>
      </c>
      <c r="S7" s="8" t="inlineStr">
        <is>
          <t>모름</t>
        </is>
      </c>
      <c r="T7" s="8" t="inlineStr">
        <is>
          <t>대리점 인터뷰 질문지 표준 템플릿화</t>
        </is>
      </c>
    </row>
    <row r="8">
      <c r="A8" s="8" t="inlineStr">
        <is>
          <t>브랜드커머스</t>
        </is>
      </c>
      <c r="B8" s="8" t="inlineStr">
        <is>
          <t>김송희</t>
        </is>
      </c>
      <c r="C8" s="8" t="inlineStr">
        <is>
          <t>브랜드커머스, 모여라딜 리드</t>
        </is>
      </c>
      <c r="D8" s="56" t="n">
        <v>46244</v>
      </c>
      <c r="E8" s="8" t="inlineStr">
        <is>
          <t>월</t>
        </is>
      </c>
      <c r="F8" s="57" t="n">
        <v>0.5</v>
      </c>
      <c r="G8" s="57" t="n">
        <v>0.5416666666666666</v>
      </c>
      <c r="H8" s="7">
        <f>IF(OR(F8="",G8=""),"",(G8-F8)*1440)</f>
        <v/>
      </c>
      <c r="I8" s="8" t="inlineStr">
        <is>
          <t>기타·행정</t>
        </is>
      </c>
      <c r="J8" s="8" t="inlineStr">
        <is>
          <t>ETC-05 휴게·점심</t>
        </is>
      </c>
      <c r="K8" s="8" t="inlineStr">
        <is>
          <t>점심 및 휴게</t>
        </is>
      </c>
      <c r="L8" s="8" t="n"/>
      <c r="M8" s="8" t="n"/>
      <c r="N8" s="8" t="n"/>
      <c r="O8" s="8" t="n"/>
      <c r="P8" s="8" t="n"/>
      <c r="Q8" s="8" t="inlineStr">
        <is>
          <t>매일</t>
        </is>
      </c>
      <c r="R8" s="8" t="inlineStr">
        <is>
          <t>정형(매뉴얼화 가능)</t>
        </is>
      </c>
      <c r="S8" s="8" t="inlineStr">
        <is>
          <t>예 - 확실히 중복</t>
        </is>
      </c>
      <c r="T8" s="8" t="n"/>
    </row>
    <row r="9">
      <c r="A9" s="8" t="inlineStr">
        <is>
          <t>브랜드커머스</t>
        </is>
      </c>
      <c r="B9" s="8" t="inlineStr">
        <is>
          <t>김송희</t>
        </is>
      </c>
      <c r="C9" s="8" t="inlineStr">
        <is>
          <t>브랜드커머스, 모여라딜 리드</t>
        </is>
      </c>
      <c r="D9" s="56" t="n">
        <v>46244</v>
      </c>
      <c r="E9" s="8" t="inlineStr">
        <is>
          <t>월</t>
        </is>
      </c>
      <c r="F9" s="57" t="n">
        <v>0.5416666666666666</v>
      </c>
      <c r="G9" s="57" t="n">
        <v>0.5625</v>
      </c>
      <c r="H9" s="7">
        <f>IF(OR(F9="",G9=""),"",(G9-F9)*1440)</f>
        <v/>
      </c>
      <c r="I9" s="8" t="inlineStr">
        <is>
          <t>사내시스템·자동화</t>
        </is>
      </c>
      <c r="J9" s="8" t="inlineStr">
        <is>
          <t>SYS-01 사내 시스템·앱 기획/개선 요청</t>
        </is>
      </c>
      <c r="K9" s="8" t="inlineStr">
        <is>
          <t>CRM센터 NPS 기능 개선 요청 — 채림님께 개선 항목 정리·전달</t>
        </is>
      </c>
      <c r="L9" s="8" t="inlineStr">
        <is>
          <t>CRM센터</t>
        </is>
      </c>
      <c r="M9" s="8" t="inlineStr">
        <is>
          <t>CRM센터</t>
        </is>
      </c>
      <c r="N9" s="8" t="inlineStr">
        <is>
          <t>양채림</t>
        </is>
      </c>
      <c r="O9" s="8" t="n"/>
      <c r="P9" s="8" t="inlineStr">
        <is>
          <t>기능 개선 요청 내역</t>
        </is>
      </c>
      <c r="Q9" s="8" t="inlineStr">
        <is>
          <t>주 1회</t>
        </is>
      </c>
      <c r="R9" s="8" t="inlineStr">
        <is>
          <t>반정형</t>
        </is>
      </c>
      <c r="S9" s="8" t="inlineStr">
        <is>
          <t>모름</t>
        </is>
      </c>
      <c r="T9" s="8" t="inlineStr">
        <is>
          <t>사내 시스템 개선 요청을 티켓(이슈보드)으로 단일 창구화</t>
        </is>
      </c>
    </row>
    <row r="10">
      <c r="A10" s="8" t="inlineStr">
        <is>
          <t>브랜드커머스</t>
        </is>
      </c>
      <c r="B10" s="8" t="inlineStr">
        <is>
          <t>김송희</t>
        </is>
      </c>
      <c r="C10" s="8" t="inlineStr">
        <is>
          <t>브랜드커머스, 모여라딜 리드</t>
        </is>
      </c>
      <c r="D10" s="56" t="n">
        <v>46244</v>
      </c>
      <c r="E10" s="8" t="inlineStr">
        <is>
          <t>월</t>
        </is>
      </c>
      <c r="F10" s="57" t="n">
        <v>0.5625</v>
      </c>
      <c r="G10" s="57" t="n">
        <v>0.5833333333333334</v>
      </c>
      <c r="H10" s="7">
        <f>IF(OR(F10="",G10=""),"",(G10-F10)*1440)</f>
        <v/>
      </c>
      <c r="I10" s="8" t="inlineStr">
        <is>
          <t>사내시스템·자동화</t>
        </is>
      </c>
      <c r="J10" s="8" t="inlineStr">
        <is>
          <t>SYS-01 사내 시스템·앱 기획/개선 요청</t>
        </is>
      </c>
      <c r="K10" s="8" t="inlineStr">
        <is>
          <t>소싱앱 기능 고도화 요청(정하님께)</t>
        </is>
      </c>
      <c r="L10" s="8" t="inlineStr">
        <is>
          <t>소싱앱</t>
        </is>
      </c>
      <c r="M10" s="8" t="inlineStr">
        <is>
          <t>소싱앱</t>
        </is>
      </c>
      <c r="N10" s="8" t="inlineStr">
        <is>
          <t>정하</t>
        </is>
      </c>
      <c r="O10" s="8" t="n"/>
      <c r="P10" s="8" t="inlineStr">
        <is>
          <t>기능 고도화 요청 내역</t>
        </is>
      </c>
      <c r="Q10" s="8" t="inlineStr">
        <is>
          <t>주 1회</t>
        </is>
      </c>
      <c r="R10" s="8" t="inlineStr">
        <is>
          <t>반정형</t>
        </is>
      </c>
      <c r="S10" s="8" t="inlineStr">
        <is>
          <t>모름</t>
        </is>
      </c>
      <c r="T10" s="8" t="inlineStr">
        <is>
          <t>사내 시스템 개선 요청을 티켓(이슈보드)으로 단일 창구화</t>
        </is>
      </c>
    </row>
    <row r="11">
      <c r="A11" s="8" t="inlineStr">
        <is>
          <t>브랜드커머스</t>
        </is>
      </c>
      <c r="B11" s="8" t="inlineStr">
        <is>
          <t>김송희</t>
        </is>
      </c>
      <c r="C11" s="8" t="inlineStr">
        <is>
          <t>브랜드커머스, 모여라딜 리드</t>
        </is>
      </c>
      <c r="D11" s="56" t="n">
        <v>46244</v>
      </c>
      <c r="E11" s="8" t="inlineStr">
        <is>
          <t>월</t>
        </is>
      </c>
      <c r="F11" s="57" t="n">
        <v>0.5833333333333334</v>
      </c>
      <c r="G11" s="57" t="n">
        <v>0.625</v>
      </c>
      <c r="H11" s="7">
        <f>IF(OR(F11="",G11=""),"",(G11-F11)*1440)</f>
        <v/>
      </c>
      <c r="I11" s="8" t="inlineStr">
        <is>
          <t>사내시스템·자동화</t>
        </is>
      </c>
      <c r="J11" s="8" t="inlineStr">
        <is>
          <t>SYS-01 사내 시스템·앱 기획/개선 요청</t>
        </is>
      </c>
      <c r="K11" s="8" t="inlineStr">
        <is>
          <t>소싱앱 UX/UI 개선 — 정하님 추가 고도화 건 화면별 피드백 작성</t>
        </is>
      </c>
      <c r="L11" s="8" t="inlineStr">
        <is>
          <t>소싱앱</t>
        </is>
      </c>
      <c r="M11" s="8" t="inlineStr">
        <is>
          <t>소싱앱</t>
        </is>
      </c>
      <c r="N11" s="8" t="inlineStr">
        <is>
          <t>정하</t>
        </is>
      </c>
      <c r="O11" s="8" t="n"/>
      <c r="P11" s="8" t="inlineStr">
        <is>
          <t>UX/UI 개선 피드백</t>
        </is>
      </c>
      <c r="Q11" s="8" t="inlineStr">
        <is>
          <t>주 2~3회</t>
        </is>
      </c>
      <c r="R11" s="8" t="inlineStr">
        <is>
          <t>비정형(판단 필요)</t>
        </is>
      </c>
      <c r="S11" s="8" t="inlineStr">
        <is>
          <t>모름</t>
        </is>
      </c>
      <c r="T11" s="8" t="inlineStr">
        <is>
          <t>개선 요청·피드백 이력을 앱 내 이슈보드로 관리해 재설명 시간 제거</t>
        </is>
      </c>
    </row>
    <row r="12">
      <c r="A12" s="8" t="inlineStr">
        <is>
          <t>브랜드커머스</t>
        </is>
      </c>
      <c r="B12" s="8" t="inlineStr">
        <is>
          <t>김송희</t>
        </is>
      </c>
      <c r="C12" s="8" t="inlineStr">
        <is>
          <t>브랜드커머스, 모여라딜 리드</t>
        </is>
      </c>
      <c r="D12" s="56" t="n">
        <v>46244</v>
      </c>
      <c r="E12" s="8" t="inlineStr">
        <is>
          <t>월</t>
        </is>
      </c>
      <c r="F12" s="57" t="n">
        <v>0.625</v>
      </c>
      <c r="G12" s="57" t="n">
        <v>0.6458333333333334</v>
      </c>
      <c r="H12" s="7">
        <f>IF(OR(F12="",G12=""),"",(G12-F12)*1440)</f>
        <v/>
      </c>
      <c r="I12" s="8" t="inlineStr">
        <is>
          <t>채널·스토어운영</t>
        </is>
      </c>
      <c r="J12" s="8" t="inlineStr">
        <is>
          <t>CHN-01 상품 등록·수정(옵션/가격)</t>
        </is>
      </c>
      <c r="K12" s="8" t="inlineStr">
        <is>
          <t>가나랜드(대리점) 스마트스토어 상품등록 요청(란님께)</t>
        </is>
      </c>
      <c r="L12" s="8" t="inlineStr">
        <is>
          <t>가나랜드 / 스마트스토어</t>
        </is>
      </c>
      <c r="M12" s="8" t="inlineStr">
        <is>
          <t>스마트스토어센터</t>
        </is>
      </c>
      <c r="N12" s="8" t="inlineStr">
        <is>
          <t>이란</t>
        </is>
      </c>
      <c r="O12" s="8" t="inlineStr">
        <is>
          <t>가나랜드</t>
        </is>
      </c>
      <c r="P12" s="8" t="inlineStr">
        <is>
          <t>상품등록 요청 내역</t>
        </is>
      </c>
      <c r="Q12" s="8" t="inlineStr">
        <is>
          <t>주 1회</t>
        </is>
      </c>
      <c r="R12" s="8" t="inlineStr">
        <is>
          <t>정형(매뉴얼화 가능)</t>
        </is>
      </c>
      <c r="S12" s="8" t="inlineStr">
        <is>
          <t>예 - 확실히 중복</t>
        </is>
      </c>
      <c r="T12" s="8" t="inlineStr">
        <is>
          <t>상품 마스터 DB 기준 채널 자동 등록</t>
        </is>
      </c>
    </row>
    <row r="13">
      <c r="A13" s="8" t="inlineStr">
        <is>
          <t>브랜드커머스</t>
        </is>
      </c>
      <c r="B13" s="8" t="inlineStr">
        <is>
          <t>김송희</t>
        </is>
      </c>
      <c r="C13" s="8" t="inlineStr">
        <is>
          <t>브랜드커머스, 모여라딜 리드</t>
        </is>
      </c>
      <c r="D13" s="56" t="n">
        <v>46244</v>
      </c>
      <c r="E13" s="8" t="inlineStr">
        <is>
          <t>월</t>
        </is>
      </c>
      <c r="F13" s="57" t="n">
        <v>0.6458333333333334</v>
      </c>
      <c r="G13" s="57" t="n">
        <v>0.6666666666666666</v>
      </c>
      <c r="H13" s="7">
        <f>IF(OR(F13="",G13=""),"",(G13-F13)*1440)</f>
        <v/>
      </c>
      <c r="I13" s="8" t="inlineStr">
        <is>
          <t>제조·생산관리</t>
        </is>
      </c>
      <c r="J13" s="8" t="inlineStr">
        <is>
          <t>MFG-06 선적·입고 일정 관리</t>
        </is>
      </c>
      <c r="K13" s="8" t="inlineStr">
        <is>
          <t>신제품(외벽·슁글·목재·판넬) 생산완료 건 입고 요청(채림님께)</t>
        </is>
      </c>
      <c r="L13" s="8" t="inlineStr">
        <is>
          <t>신제품 4종</t>
        </is>
      </c>
      <c r="M13" s="8" t="inlineStr">
        <is>
          <t>POUR OS(업무보드)</t>
        </is>
      </c>
      <c r="N13" s="8" t="inlineStr">
        <is>
          <t>양채림</t>
        </is>
      </c>
      <c r="O13" s="8" t="inlineStr">
        <is>
          <t>생산공장</t>
        </is>
      </c>
      <c r="P13" s="8" t="inlineStr">
        <is>
          <t>입고 요청 내역</t>
        </is>
      </c>
      <c r="Q13" s="8" t="inlineStr">
        <is>
          <t>주 1회</t>
        </is>
      </c>
      <c r="R13" s="8" t="inlineStr">
        <is>
          <t>정형(매뉴얼화 가능)</t>
        </is>
      </c>
      <c r="S13" s="8" t="inlineStr">
        <is>
          <t>아마도 중복</t>
        </is>
      </c>
      <c r="T13" s="8" t="inlineStr">
        <is>
          <t>생산완료 → 입고요청 자동 알림 연동</t>
        </is>
      </c>
    </row>
    <row r="14">
      <c r="A14" s="8" t="inlineStr">
        <is>
          <t>브랜드커머스</t>
        </is>
      </c>
      <c r="B14" s="8" t="inlineStr">
        <is>
          <t>김송희</t>
        </is>
      </c>
      <c r="C14" s="8" t="inlineStr">
        <is>
          <t>브랜드커머스, 모여라딜 리드</t>
        </is>
      </c>
      <c r="D14" s="56" t="n">
        <v>46244</v>
      </c>
      <c r="E14" s="8" t="inlineStr">
        <is>
          <t>월</t>
        </is>
      </c>
      <c r="F14" s="57" t="n">
        <v>0.6666666666666666</v>
      </c>
      <c r="G14" s="57" t="n">
        <v>0.6875</v>
      </c>
      <c r="H14" s="7">
        <f>IF(OR(F14="",G14=""),"",(G14-F14)*1440)</f>
        <v/>
      </c>
      <c r="I14" s="8" t="inlineStr">
        <is>
          <t>CS·물류·재고</t>
        </is>
      </c>
      <c r="J14" s="8" t="inlineStr">
        <is>
          <t>OPS-03 재고 현황 점검·발주 요청</t>
        </is>
      </c>
      <c r="K14" s="8" t="inlineStr">
        <is>
          <t>쿠팡 판매량 확인 및 재고부족 건 입고 요청 / 담당 인수인계 안내(채림님·란님)</t>
        </is>
      </c>
      <c r="L14" s="8" t="inlineStr">
        <is>
          <t>POUR스토어 / 쿠팡</t>
        </is>
      </c>
      <c r="M14" s="8" t="inlineStr">
        <is>
          <t>쿠팡 WING</t>
        </is>
      </c>
      <c r="N14" s="8" t="inlineStr">
        <is>
          <t>양채림, 이란</t>
        </is>
      </c>
      <c r="O14" s="8" t="n"/>
      <c r="P14" s="8" t="inlineStr">
        <is>
          <t>재고·입고 요청 내역</t>
        </is>
      </c>
      <c r="Q14" s="8" t="inlineStr">
        <is>
          <t>매일</t>
        </is>
      </c>
      <c r="R14" s="8" t="inlineStr">
        <is>
          <t>정형(매뉴얼화 가능)</t>
        </is>
      </c>
      <c r="S14" s="8" t="inlineStr">
        <is>
          <t>예 - 확실히 중복</t>
        </is>
      </c>
      <c r="T14" s="8" t="inlineStr">
        <is>
          <t>채널 재고 임계치 도달 시 자동 알림·발주 요청</t>
        </is>
      </c>
    </row>
    <row r="15">
      <c r="A15" s="8" t="inlineStr">
        <is>
          <t>브랜드커머스</t>
        </is>
      </c>
      <c r="B15" s="8" t="inlineStr">
        <is>
          <t>김송희</t>
        </is>
      </c>
      <c r="C15" s="8" t="inlineStr">
        <is>
          <t>브랜드커머스, 모여라딜 리드</t>
        </is>
      </c>
      <c r="D15" s="56" t="n">
        <v>46244</v>
      </c>
      <c r="E15" s="8" t="inlineStr">
        <is>
          <t>월</t>
        </is>
      </c>
      <c r="F15" s="57" t="n">
        <v>0.6875</v>
      </c>
      <c r="G15" s="57" t="n">
        <v>0.7291666666666666</v>
      </c>
      <c r="H15" s="7">
        <f>IF(OR(F15="",G15=""),"",(G15-F15)*1440)</f>
        <v/>
      </c>
      <c r="I15" s="8" t="inlineStr">
        <is>
          <t>제조·생산관리</t>
        </is>
      </c>
      <c r="J15" s="8" t="inlineStr">
        <is>
          <t>MFG-08 MSDS·라벨 등 제품 표시사항 제작</t>
        </is>
      </c>
      <c r="K15" s="8" t="inlineStr">
        <is>
          <t>신제품 코트재 MSDS 컬러별 31개 제작 (세이고 → 쿠팡창고 발송 예정) — 진행중</t>
        </is>
      </c>
      <c r="L15" s="8" t="inlineStr">
        <is>
          <t>코트재 신제품 31색</t>
        </is>
      </c>
      <c r="M15" s="8" t="n"/>
      <c r="N15" s="8" t="n"/>
      <c r="O15" s="8" t="inlineStr">
        <is>
          <t>세이고, 쿠팡물류센터</t>
        </is>
      </c>
      <c r="P15" s="8" t="inlineStr">
        <is>
          <t>MSDS 31종</t>
        </is>
      </c>
      <c r="Q15" s="8" t="inlineStr">
        <is>
          <t>1회성</t>
        </is>
      </c>
      <c r="R15" s="8" t="inlineStr">
        <is>
          <t>반정형</t>
        </is>
      </c>
      <c r="S15" s="8" t="inlineStr">
        <is>
          <t>아니오 - 우리팀 고유</t>
        </is>
      </c>
      <c r="T15" s="8" t="inlineStr">
        <is>
          <t>품목·색상 데이터 연동으로 MSDS 서식 자동 생성</t>
        </is>
      </c>
    </row>
    <row r="16">
      <c r="A16" s="8" t="inlineStr">
        <is>
          <t>브랜드커머스</t>
        </is>
      </c>
      <c r="B16" s="8" t="inlineStr">
        <is>
          <t>김송희</t>
        </is>
      </c>
      <c r="C16" s="8" t="inlineStr">
        <is>
          <t>브랜드커머스, 모여라딜 리드</t>
        </is>
      </c>
      <c r="D16" s="56" t="n">
        <v>46244</v>
      </c>
      <c r="E16" s="8" t="inlineStr">
        <is>
          <t>월</t>
        </is>
      </c>
      <c r="F16" s="57" t="n">
        <v>0.7291666666666666</v>
      </c>
      <c r="G16" s="57" t="n">
        <v>0.75</v>
      </c>
      <c r="H16" s="7">
        <f>IF(OR(F16="",G16=""),"",(G16-F16)*1440)</f>
        <v/>
      </c>
      <c r="I16" s="8" t="inlineStr">
        <is>
          <t>마케팅·광고운영</t>
        </is>
      </c>
      <c r="J16" s="8" t="inlineStr">
        <is>
          <t>MKT-04 인플루언서·체험단 섭외/관리</t>
        </is>
      </c>
      <c r="K16" s="8" t="inlineStr">
        <is>
          <t>퍼포먼스마케팅 인플루언서/셀러 협업 현황 확인 및 컨택 방안 피드백(채림님께)</t>
        </is>
      </c>
      <c r="L16" s="8" t="inlineStr">
        <is>
          <t>POUR스토어</t>
        </is>
      </c>
      <c r="M16" s="8" t="inlineStr">
        <is>
          <t>POUR OS(업무보드)</t>
        </is>
      </c>
      <c r="N16" s="8" t="inlineStr">
        <is>
          <t>양채림</t>
        </is>
      </c>
      <c r="O16" s="8" t="inlineStr">
        <is>
          <t>인플루언서·셀러</t>
        </is>
      </c>
      <c r="P16" s="8" t="inlineStr">
        <is>
          <t>협업 컨택 방안 피드백</t>
        </is>
      </c>
      <c r="Q16" s="8" t="inlineStr">
        <is>
          <t>주 1회</t>
        </is>
      </c>
      <c r="R16" s="8" t="inlineStr">
        <is>
          <t>비정형(판단 필요)</t>
        </is>
      </c>
      <c r="S16" s="8" t="inlineStr">
        <is>
          <t>아마도 중복</t>
        </is>
      </c>
      <c r="T16" s="8" t="inlineStr">
        <is>
          <t>인플루언서/셀러 컨택 이력 DB 공용화(중복 컨택 방지)</t>
        </is>
      </c>
    </row>
    <row r="17">
      <c r="A17" s="8" t="inlineStr">
        <is>
          <t>브랜드커머스</t>
        </is>
      </c>
      <c r="B17" s="8" t="inlineStr">
        <is>
          <t>김송희</t>
        </is>
      </c>
      <c r="C17" s="8" t="inlineStr">
        <is>
          <t>브랜드커머스, 모여라딜 리드</t>
        </is>
      </c>
      <c r="D17" s="56" t="n">
        <v>46245</v>
      </c>
      <c r="E17" s="8" t="inlineStr">
        <is>
          <t>화</t>
        </is>
      </c>
      <c r="F17" s="57" t="n">
        <v>0.375</v>
      </c>
      <c r="G17" s="57" t="n">
        <v>0.3958333333333333</v>
      </c>
      <c r="H17" s="7">
        <f>IF(OR(F17="",G17=""),"",(G17-F17)*1440)</f>
        <v/>
      </c>
      <c r="I17" s="8" t="inlineStr">
        <is>
          <t>기타·행정</t>
        </is>
      </c>
      <c r="J17" s="8" t="inlineStr">
        <is>
          <t>ETC-01 메일·메신저 확인 및 회신</t>
        </is>
      </c>
      <c r="K17" s="8" t="inlineStr">
        <is>
          <t>출근 후 메일·메신저·업무보드 확인 및 회신</t>
        </is>
      </c>
      <c r="L17" s="8" t="inlineStr">
        <is>
          <t>전사</t>
        </is>
      </c>
      <c r="M17" s="8" t="inlineStr">
        <is>
          <t>POUR OS(업무보드)</t>
        </is>
      </c>
      <c r="N17" s="8" t="n"/>
      <c r="O17" s="8" t="n"/>
      <c r="P17" s="8" t="inlineStr">
        <is>
          <t>회신 처리</t>
        </is>
      </c>
      <c r="Q17" s="8" t="inlineStr">
        <is>
          <t>매일</t>
        </is>
      </c>
      <c r="R17" s="8" t="inlineStr">
        <is>
          <t>정형(매뉴얼화 가능)</t>
        </is>
      </c>
      <c r="S17" s="8" t="inlineStr">
        <is>
          <t>예 - 확실히 중복</t>
        </is>
      </c>
      <c r="T17" s="8" t="inlineStr">
        <is>
          <t>팀별 요청·공지를 업무보드 알림 하나로 일원화</t>
        </is>
      </c>
    </row>
    <row r="18">
      <c r="A18" s="8" t="inlineStr">
        <is>
          <t>브랜드커머스</t>
        </is>
      </c>
      <c r="B18" s="8" t="inlineStr">
        <is>
          <t>김송희</t>
        </is>
      </c>
      <c r="C18" s="8" t="inlineStr">
        <is>
          <t>브랜드커머스, 모여라딜 리드</t>
        </is>
      </c>
      <c r="D18" s="56" t="n">
        <v>46245</v>
      </c>
      <c r="E18" s="8" t="inlineStr">
        <is>
          <t>화</t>
        </is>
      </c>
      <c r="F18" s="57" t="n">
        <v>0.3958333333333333</v>
      </c>
      <c r="G18" s="57" t="n">
        <v>0.4583333333333333</v>
      </c>
      <c r="H18" s="7">
        <f>IF(OR(F18="",G18=""),"",(G18-F18)*1440)</f>
        <v/>
      </c>
      <c r="I18" s="8" t="inlineStr">
        <is>
          <t>기획·보고·회의</t>
        </is>
      </c>
      <c r="J18" s="8" t="inlineStr">
        <is>
          <t>MGT-01 팀 내부 회의</t>
        </is>
      </c>
      <c r="K18" s="8" t="inlineStr">
        <is>
          <t>모여라딜 피봇팅 방향 논의 및 정하님 업무 진행방향 미팅</t>
        </is>
      </c>
      <c r="L18" s="8" t="inlineStr">
        <is>
          <t>모여라딜</t>
        </is>
      </c>
      <c r="M18" s="8" t="inlineStr">
        <is>
          <t>POUR OS(업무보드)</t>
        </is>
      </c>
      <c r="N18" s="8" t="inlineStr">
        <is>
          <t>정하</t>
        </is>
      </c>
      <c r="O18" s="8" t="n"/>
      <c r="P18" s="8" t="inlineStr">
        <is>
          <t>미팅 결과·업무 방향 메모</t>
        </is>
      </c>
      <c r="Q18" s="8" t="inlineStr">
        <is>
          <t>주 1회</t>
        </is>
      </c>
      <c r="R18" s="8" t="inlineStr">
        <is>
          <t>비정형(판단 필요)</t>
        </is>
      </c>
      <c r="S18" s="8" t="inlineStr">
        <is>
          <t>모름</t>
        </is>
      </c>
      <c r="T18" s="8" t="inlineStr">
        <is>
          <t>논의 결과를 업무보드 프로젝트 카드로 즉시 반영</t>
        </is>
      </c>
    </row>
    <row r="19">
      <c r="A19" s="8" t="inlineStr">
        <is>
          <t>브랜드커머스</t>
        </is>
      </c>
      <c r="B19" s="8" t="inlineStr">
        <is>
          <t>김송희</t>
        </is>
      </c>
      <c r="C19" s="8" t="inlineStr">
        <is>
          <t>브랜드커머스, 모여라딜 리드</t>
        </is>
      </c>
      <c r="D19" s="56" t="n">
        <v>46245</v>
      </c>
      <c r="E19" s="8" t="inlineStr">
        <is>
          <t>화</t>
        </is>
      </c>
      <c r="F19" s="57" t="n">
        <v>0.4583333333333333</v>
      </c>
      <c r="G19" s="57" t="n">
        <v>0.5</v>
      </c>
      <c r="H19" s="7">
        <f>IF(OR(F19="",G19=""),"",(G19-F19)*1440)</f>
        <v/>
      </c>
      <c r="I19" s="8" t="inlineStr">
        <is>
          <t>마케팅·광고운영</t>
        </is>
      </c>
      <c r="J19" s="8" t="inlineStr">
        <is>
          <t>MKT-04 인플루언서·체험단 섭외/관리</t>
        </is>
      </c>
      <c r="K19" s="8" t="inlineStr">
        <is>
          <t>채림님 인플루언서 협업마케팅 진행방향 안내 및 진행안 컨펌</t>
        </is>
      </c>
      <c r="L19" s="8" t="inlineStr">
        <is>
          <t>POUR스토어</t>
        </is>
      </c>
      <c r="M19" s="8" t="inlineStr">
        <is>
          <t>POUR OS(업무보드)</t>
        </is>
      </c>
      <c r="N19" s="8" t="inlineStr">
        <is>
          <t>양채림</t>
        </is>
      </c>
      <c r="O19" s="8" t="inlineStr">
        <is>
          <t>인플루언서</t>
        </is>
      </c>
      <c r="P19" s="8" t="inlineStr">
        <is>
          <t>협업 진행안 컨펌</t>
        </is>
      </c>
      <c r="Q19" s="8" t="inlineStr">
        <is>
          <t>주 1회</t>
        </is>
      </c>
      <c r="R19" s="8" t="inlineStr">
        <is>
          <t>비정형(판단 필요)</t>
        </is>
      </c>
      <c r="S19" s="8" t="inlineStr">
        <is>
          <t>아마도 중복</t>
        </is>
      </c>
      <c r="T19" s="8" t="inlineStr">
        <is>
          <t>인플루언서 협업 진행 기준(가이드) 문서화 후 위임</t>
        </is>
      </c>
    </row>
    <row r="20">
      <c r="A20" s="8" t="inlineStr">
        <is>
          <t>브랜드커머스</t>
        </is>
      </c>
      <c r="B20" s="8" t="inlineStr">
        <is>
          <t>김송희</t>
        </is>
      </c>
      <c r="C20" s="8" t="inlineStr">
        <is>
          <t>브랜드커머스, 모여라딜 리드</t>
        </is>
      </c>
      <c r="D20" s="56" t="n">
        <v>46245</v>
      </c>
      <c r="E20" s="8" t="inlineStr">
        <is>
          <t>화</t>
        </is>
      </c>
      <c r="F20" s="57" t="n">
        <v>0.5</v>
      </c>
      <c r="G20" s="57" t="n">
        <v>0.5416666666666666</v>
      </c>
      <c r="H20" s="7">
        <f>IF(OR(F20="",G20=""),"",(G20-F20)*1440)</f>
        <v/>
      </c>
      <c r="I20" s="8" t="inlineStr">
        <is>
          <t>기타·행정</t>
        </is>
      </c>
      <c r="J20" s="8" t="inlineStr">
        <is>
          <t>ETC-05 휴게·점심</t>
        </is>
      </c>
      <c r="K20" s="8" t="inlineStr">
        <is>
          <t>점심 및 휴게</t>
        </is>
      </c>
      <c r="L20" s="8" t="n"/>
      <c r="M20" s="8" t="n"/>
      <c r="N20" s="8" t="n"/>
      <c r="O20" s="8" t="n"/>
      <c r="P20" s="8" t="n"/>
      <c r="Q20" s="8" t="inlineStr">
        <is>
          <t>매일</t>
        </is>
      </c>
      <c r="R20" s="8" t="inlineStr">
        <is>
          <t>정형(매뉴얼화 가능)</t>
        </is>
      </c>
      <c r="S20" s="8" t="inlineStr">
        <is>
          <t>예 - 확실히 중복</t>
        </is>
      </c>
      <c r="T20" s="8" t="n"/>
    </row>
    <row r="21">
      <c r="A21" s="8" t="inlineStr">
        <is>
          <t>브랜드커머스</t>
        </is>
      </c>
      <c r="B21" s="8" t="inlineStr">
        <is>
          <t>김송희</t>
        </is>
      </c>
      <c r="C21" s="8" t="inlineStr">
        <is>
          <t>브랜드커머스, 모여라딜 리드</t>
        </is>
      </c>
      <c r="D21" s="56" t="n">
        <v>46245</v>
      </c>
      <c r="E21" s="8" t="inlineStr">
        <is>
          <t>화</t>
        </is>
      </c>
      <c r="F21" s="57" t="n">
        <v>0.5416666666666666</v>
      </c>
      <c r="G21" s="57" t="n">
        <v>0.5833333333333334</v>
      </c>
      <c r="H21" s="7">
        <f>IF(OR(F21="",G21=""),"",(G21-F21)*1440)</f>
        <v/>
      </c>
      <c r="I21" s="8" t="inlineStr">
        <is>
          <t>사내시스템·자동화</t>
        </is>
      </c>
      <c r="J21" s="8" t="inlineStr">
        <is>
          <t>SYS-01 사내 시스템·앱 기획/개선 요청</t>
        </is>
      </c>
      <c r="K21" s="8" t="inlineStr">
        <is>
          <t>소싱앱 UX/UI 개선 — 정하님 추가 고도화 건 2차 피드백</t>
        </is>
      </c>
      <c r="L21" s="8" t="inlineStr">
        <is>
          <t>소싱앱</t>
        </is>
      </c>
      <c r="M21" s="8" t="inlineStr">
        <is>
          <t>소싱앱</t>
        </is>
      </c>
      <c r="N21" s="8" t="inlineStr">
        <is>
          <t>정하</t>
        </is>
      </c>
      <c r="O21" s="8" t="n"/>
      <c r="P21" s="8" t="inlineStr">
        <is>
          <t>UX/UI 2차 피드백</t>
        </is>
      </c>
      <c r="Q21" s="8" t="inlineStr">
        <is>
          <t>주 2~3회</t>
        </is>
      </c>
      <c r="R21" s="8" t="inlineStr">
        <is>
          <t>비정형(판단 필요)</t>
        </is>
      </c>
      <c r="S21" s="8" t="inlineStr">
        <is>
          <t>모름</t>
        </is>
      </c>
      <c r="T21" s="8" t="inlineStr">
        <is>
          <t>개선 요청·피드백 이력을 앱 내 이슈보드로 관리</t>
        </is>
      </c>
    </row>
    <row r="22">
      <c r="A22" s="8" t="inlineStr">
        <is>
          <t>브랜드커머스</t>
        </is>
      </c>
      <c r="B22" s="8" t="inlineStr">
        <is>
          <t>김송희</t>
        </is>
      </c>
      <c r="C22" s="8" t="inlineStr">
        <is>
          <t>브랜드커머스, 모여라딜 리드</t>
        </is>
      </c>
      <c r="D22" s="56" t="n">
        <v>46245</v>
      </c>
      <c r="E22" s="8" t="inlineStr">
        <is>
          <t>화</t>
        </is>
      </c>
      <c r="F22" s="57" t="n">
        <v>0.5833333333333334</v>
      </c>
      <c r="G22" s="57" t="n">
        <v>0.625</v>
      </c>
      <c r="H22" s="7">
        <f>IF(OR(F22="",G22=""),"",(G22-F22)*1440)</f>
        <v/>
      </c>
      <c r="I22" s="8" t="inlineStr">
        <is>
          <t>상품기획·소싱</t>
        </is>
      </c>
      <c r="J22" s="8" t="inlineStr">
        <is>
          <t>PLN-01 신상품 아이템 발굴/시장조사</t>
        </is>
      </c>
      <c r="K22" s="8" t="inlineStr">
        <is>
          <t>본품 외 부자재·안전용품 등 판매 세팅 검토 — 우선순위 재조정으로 보류</t>
        </is>
      </c>
      <c r="L22" s="8" t="inlineStr">
        <is>
          <t>부자재·안전용품</t>
        </is>
      </c>
      <c r="M22" s="8" t="n"/>
      <c r="N22" s="8" t="n"/>
      <c r="O22" s="8" t="n"/>
      <c r="P22" s="8" t="inlineStr">
        <is>
          <t>판매 세팅 검토안(보류)</t>
        </is>
      </c>
      <c r="Q22" s="8" t="inlineStr">
        <is>
          <t>분기/비정기</t>
        </is>
      </c>
      <c r="R22" s="8" t="inlineStr">
        <is>
          <t>비정형(판단 필요)</t>
        </is>
      </c>
      <c r="S22" s="8" t="inlineStr">
        <is>
          <t>아마도 중복</t>
        </is>
      </c>
      <c r="T22" s="8" t="inlineStr">
        <is>
          <t>부자재 카테고리 소싱 기준 정립 후 일괄 세팅</t>
        </is>
      </c>
    </row>
    <row r="23">
      <c r="A23" s="8" t="inlineStr">
        <is>
          <t>브랜드커머스</t>
        </is>
      </c>
      <c r="B23" s="8" t="inlineStr">
        <is>
          <t>김송희</t>
        </is>
      </c>
      <c r="C23" s="8" t="inlineStr">
        <is>
          <t>브랜드커머스, 모여라딜 리드</t>
        </is>
      </c>
      <c r="D23" s="56" t="n">
        <v>46245</v>
      </c>
      <c r="E23" s="8" t="inlineStr">
        <is>
          <t>화</t>
        </is>
      </c>
      <c r="F23" s="57" t="n">
        <v>0.625</v>
      </c>
      <c r="G23" s="57" t="n">
        <v>0.7083333333333334</v>
      </c>
      <c r="H23" s="7">
        <f>IF(OR(F23="",G23=""),"",(G23-F23)*1440)</f>
        <v/>
      </c>
      <c r="I23" s="8" t="inlineStr">
        <is>
          <t>데이터·정산</t>
        </is>
      </c>
      <c r="J23" s="8" t="inlineStr">
        <is>
          <t>DAT-04 리포트·대시보드 작성</t>
        </is>
      </c>
      <c r="K23" s="8" t="inlineStr">
        <is>
          <t>POUR스토어 단가·공헌이익·손익계산 대시보드 제작 — 진행중(전주 이월)</t>
        </is>
      </c>
      <c r="L23" s="8" t="inlineStr">
        <is>
          <t>POUR스토어</t>
        </is>
      </c>
      <c r="M23" s="8" t="inlineStr">
        <is>
          <t>단가 대시보드, 엑셀</t>
        </is>
      </c>
      <c r="N23" s="8" t="n"/>
      <c r="O23" s="8" t="n"/>
      <c r="P23" s="8" t="inlineStr">
        <is>
          <t>단가·공헌이익·손익 대시보드</t>
        </is>
      </c>
      <c r="Q23" s="8" t="inlineStr">
        <is>
          <t>주 2~3회</t>
        </is>
      </c>
      <c r="R23" s="8" t="inlineStr">
        <is>
          <t>비정형(판단 필요)</t>
        </is>
      </c>
      <c r="S23" s="8" t="inlineStr">
        <is>
          <t>아마도 중복</t>
        </is>
      </c>
      <c r="T23" s="8" t="inlineStr">
        <is>
          <t>채널 수수료·원가 데이터 자동 연동으로 수기 입력 제거</t>
        </is>
      </c>
    </row>
    <row r="24">
      <c r="A24" s="8" t="inlineStr">
        <is>
          <t>브랜드커머스</t>
        </is>
      </c>
      <c r="B24" s="8" t="inlineStr">
        <is>
          <t>김송희</t>
        </is>
      </c>
      <c r="C24" s="8" t="inlineStr">
        <is>
          <t>브랜드커머스, 모여라딜 리드</t>
        </is>
      </c>
      <c r="D24" s="56" t="n">
        <v>46245</v>
      </c>
      <c r="E24" s="8" t="inlineStr">
        <is>
          <t>화</t>
        </is>
      </c>
      <c r="F24" s="57" t="n">
        <v>0.7083333333333334</v>
      </c>
      <c r="G24" s="57" t="n">
        <v>0.75</v>
      </c>
      <c r="H24" s="7">
        <f>IF(OR(F24="",G24=""),"",(G24-F24)*1440)</f>
        <v/>
      </c>
      <c r="I24" s="8" t="inlineStr">
        <is>
          <t>제조·생산관리</t>
        </is>
      </c>
      <c r="J24" s="8" t="inlineStr">
        <is>
          <t>MFG-08 MSDS·라벨 등 제품 표시사항 제작</t>
        </is>
      </c>
      <c r="K24" s="8" t="inlineStr">
        <is>
          <t>신제품 코트재 MSDS 컬러별 31개 제작 — 진행중</t>
        </is>
      </c>
      <c r="L24" s="8" t="inlineStr">
        <is>
          <t>코트재 신제품 31색</t>
        </is>
      </c>
      <c r="M24" s="8" t="n"/>
      <c r="N24" s="8" t="n"/>
      <c r="O24" s="8" t="inlineStr">
        <is>
          <t>세이고, 쿠팡물류센터</t>
        </is>
      </c>
      <c r="P24" s="8" t="inlineStr">
        <is>
          <t>MSDS 31종</t>
        </is>
      </c>
      <c r="Q24" s="8" t="inlineStr">
        <is>
          <t>1회성</t>
        </is>
      </c>
      <c r="R24" s="8" t="inlineStr">
        <is>
          <t>반정형</t>
        </is>
      </c>
      <c r="S24" s="8" t="inlineStr">
        <is>
          <t>아니오 - 우리팀 고유</t>
        </is>
      </c>
      <c r="T24" s="8" t="inlineStr">
        <is>
          <t>품목·색상 데이터 연동으로 MSDS 서식 자동 생성</t>
        </is>
      </c>
    </row>
    <row r="25">
      <c r="A25" s="8" t="inlineStr">
        <is>
          <t>브랜드커머스</t>
        </is>
      </c>
      <c r="B25" s="8" t="inlineStr">
        <is>
          <t>김송희</t>
        </is>
      </c>
      <c r="C25" s="8" t="inlineStr">
        <is>
          <t>브랜드커머스, 모여라딜 리드</t>
        </is>
      </c>
      <c r="D25" s="56" t="n">
        <v>46246</v>
      </c>
      <c r="E25" s="8" t="inlineStr">
        <is>
          <t>수</t>
        </is>
      </c>
      <c r="F25" s="57" t="n">
        <v>0.375</v>
      </c>
      <c r="G25" s="57" t="n">
        <v>0.3958333333333333</v>
      </c>
      <c r="H25" s="7">
        <f>IF(OR(F25="",G25=""),"",(G25-F25)*1440)</f>
        <v/>
      </c>
      <c r="I25" s="8" t="inlineStr">
        <is>
          <t>기타·행정</t>
        </is>
      </c>
      <c r="J25" s="8" t="inlineStr">
        <is>
          <t>ETC-01 메일·메신저 확인 및 회신</t>
        </is>
      </c>
      <c r="K25" s="8" t="inlineStr">
        <is>
          <t>출근 후 메일·메신저·업무보드 확인 및 회신</t>
        </is>
      </c>
      <c r="L25" s="8" t="inlineStr">
        <is>
          <t>전사</t>
        </is>
      </c>
      <c r="M25" s="8" t="inlineStr">
        <is>
          <t>POUR OS(업무보드)</t>
        </is>
      </c>
      <c r="N25" s="8" t="n"/>
      <c r="O25" s="8" t="n"/>
      <c r="P25" s="8" t="inlineStr">
        <is>
          <t>회신 처리</t>
        </is>
      </c>
      <c r="Q25" s="8" t="inlineStr">
        <is>
          <t>매일</t>
        </is>
      </c>
      <c r="R25" s="8" t="inlineStr">
        <is>
          <t>정형(매뉴얼화 가능)</t>
        </is>
      </c>
      <c r="S25" s="8" t="inlineStr">
        <is>
          <t>예 - 확실히 중복</t>
        </is>
      </c>
      <c r="T25" s="8" t="inlineStr">
        <is>
          <t>팀별 요청·공지를 업무보드 알림 하나로 일원화</t>
        </is>
      </c>
    </row>
    <row r="26">
      <c r="A26" s="8" t="inlineStr">
        <is>
          <t>브랜드커머스</t>
        </is>
      </c>
      <c r="B26" s="8" t="inlineStr">
        <is>
          <t>김송희</t>
        </is>
      </c>
      <c r="C26" s="8" t="inlineStr">
        <is>
          <t>브랜드커머스, 모여라딜 리드</t>
        </is>
      </c>
      <c r="D26" s="56" t="n">
        <v>46246</v>
      </c>
      <c r="E26" s="8" t="inlineStr">
        <is>
          <t>수</t>
        </is>
      </c>
      <c r="F26" s="57" t="n">
        <v>0.3958333333333333</v>
      </c>
      <c r="G26" s="57" t="n">
        <v>0.4375</v>
      </c>
      <c r="H26" s="7">
        <f>IF(OR(F26="",G26=""),"",(G26-F26)*1440)</f>
        <v/>
      </c>
      <c r="I26" s="8" t="inlineStr">
        <is>
          <t>파트너·대리점관리</t>
        </is>
      </c>
      <c r="J26" s="8" t="inlineStr">
        <is>
          <t>PTR-01 대리점·파트너사 방문·미팅</t>
        </is>
      </c>
      <c r="K26" s="8" t="inlineStr">
        <is>
          <t>부산 대리점 방문 준비 — 촬영물품 및 미팅·인터뷰 질문지 최종 확인</t>
        </is>
      </c>
      <c r="L26" s="8" t="inlineStr">
        <is>
          <t>대리점(가나랜드·겸남지사)</t>
        </is>
      </c>
      <c r="M26" s="8" t="inlineStr">
        <is>
          <t>POUR OS(업무보드)</t>
        </is>
      </c>
      <c r="N26" s="8" t="inlineStr">
        <is>
          <t>이란</t>
        </is>
      </c>
      <c r="O26" s="8" t="inlineStr">
        <is>
          <t>가나랜드, 겸남지사</t>
        </is>
      </c>
      <c r="P26" s="8" t="inlineStr">
        <is>
          <t>방문 준비 체크리스트</t>
        </is>
      </c>
      <c r="Q26" s="8" t="inlineStr">
        <is>
          <t>분기/비정기</t>
        </is>
      </c>
      <c r="R26" s="8" t="inlineStr">
        <is>
          <t>반정형</t>
        </is>
      </c>
      <c r="S26" s="8" t="inlineStr">
        <is>
          <t>모름</t>
        </is>
      </c>
      <c r="T26" s="8" t="inlineStr">
        <is>
          <t>대리점 방문 준비 체크리스트 표준화</t>
        </is>
      </c>
    </row>
    <row r="27">
      <c r="A27" s="8" t="inlineStr">
        <is>
          <t>브랜드커머스</t>
        </is>
      </c>
      <c r="B27" s="8" t="inlineStr">
        <is>
          <t>김송희</t>
        </is>
      </c>
      <c r="C27" s="8" t="inlineStr">
        <is>
          <t>브랜드커머스, 모여라딜 리드</t>
        </is>
      </c>
      <c r="D27" s="56" t="n">
        <v>46246</v>
      </c>
      <c r="E27" s="8" t="inlineStr">
        <is>
          <t>수</t>
        </is>
      </c>
      <c r="F27" s="57" t="n">
        <v>0.4375</v>
      </c>
      <c r="G27" s="57" t="n">
        <v>0.4791666666666667</v>
      </c>
      <c r="H27" s="7">
        <f>IF(OR(F27="",G27=""),"",(G27-F27)*1440)</f>
        <v/>
      </c>
      <c r="I27" s="8" t="inlineStr">
        <is>
          <t>마케팅·광고운영</t>
        </is>
      </c>
      <c r="J27" s="8" t="inlineStr">
        <is>
          <t>MKT-05 프로모션·기획전 기획</t>
        </is>
      </c>
      <c r="K27" s="8" t="inlineStr">
        <is>
          <t>스토어 8~10월 프로모션 기획안 검토 및 피드백(민지님)</t>
        </is>
      </c>
      <c r="L27" s="8" t="inlineStr">
        <is>
          <t>POUR스토어</t>
        </is>
      </c>
      <c r="M27" s="8" t="inlineStr">
        <is>
          <t>POUR OS(업무보드)</t>
        </is>
      </c>
      <c r="N27" s="8" t="inlineStr">
        <is>
          <t>김민지</t>
        </is>
      </c>
      <c r="O27" s="8" t="n"/>
      <c r="P27" s="8" t="inlineStr">
        <is>
          <t>프로모션 기획 피드백</t>
        </is>
      </c>
      <c r="Q27" s="8" t="inlineStr">
        <is>
          <t>월 1회</t>
        </is>
      </c>
      <c r="R27" s="8" t="inlineStr">
        <is>
          <t>반정형</t>
        </is>
      </c>
      <c r="S27" s="8" t="inlineStr">
        <is>
          <t>아마도 중복</t>
        </is>
      </c>
      <c r="T27" s="8" t="inlineStr">
        <is>
          <t>본부 공용 프로모션 캘린더로 3팀 일정·중복 방지</t>
        </is>
      </c>
    </row>
    <row r="28">
      <c r="A28" s="8" t="inlineStr">
        <is>
          <t>브랜드커머스</t>
        </is>
      </c>
      <c r="B28" s="8" t="inlineStr">
        <is>
          <t>김송희</t>
        </is>
      </c>
      <c r="C28" s="8" t="inlineStr">
        <is>
          <t>브랜드커머스, 모여라딜 리드</t>
        </is>
      </c>
      <c r="D28" s="56" t="n">
        <v>46246</v>
      </c>
      <c r="E28" s="8" t="inlineStr">
        <is>
          <t>수</t>
        </is>
      </c>
      <c r="F28" s="57" t="n">
        <v>0.4791666666666667</v>
      </c>
      <c r="G28" s="57" t="n">
        <v>0.5</v>
      </c>
      <c r="H28" s="7">
        <f>IF(OR(F28="",G28=""),"",(G28-F28)*1440)</f>
        <v/>
      </c>
      <c r="I28" s="8" t="inlineStr">
        <is>
          <t>마케팅·광고운영</t>
        </is>
      </c>
      <c r="J28" s="8" t="inlineStr">
        <is>
          <t>MKT-02 광고 성과 모니터링·최적화</t>
        </is>
      </c>
      <c r="K28" s="8" t="inlineStr">
        <is>
          <t>신제품(철재페인트) 키워드광고 상위노출 확인</t>
        </is>
      </c>
      <c r="L28" s="8" t="inlineStr">
        <is>
          <t>신제품 철재페인트 / 네이버</t>
        </is>
      </c>
      <c r="M28" s="8" t="inlineStr">
        <is>
          <t>네이버 검색, 검색광고 관리자</t>
        </is>
      </c>
      <c r="N28" s="8" t="n"/>
      <c r="O28" s="8" t="n"/>
      <c r="P28" s="8" t="inlineStr">
        <is>
          <t>노출 순위 점검 메모</t>
        </is>
      </c>
      <c r="Q28" s="8" t="inlineStr">
        <is>
          <t>주 2~3회</t>
        </is>
      </c>
      <c r="R28" s="8" t="inlineStr">
        <is>
          <t>정형(매뉴얼화 가능)</t>
        </is>
      </c>
      <c r="S28" s="8" t="inlineStr">
        <is>
          <t>예 - 확실히 중복</t>
        </is>
      </c>
      <c r="T28" s="8" t="inlineStr">
        <is>
          <t>키워드 순위 자동 추적 리포트로 대체</t>
        </is>
      </c>
    </row>
    <row r="29">
      <c r="A29" s="8" t="inlineStr">
        <is>
          <t>브랜드커머스</t>
        </is>
      </c>
      <c r="B29" s="8" t="inlineStr">
        <is>
          <t>김송희</t>
        </is>
      </c>
      <c r="C29" s="8" t="inlineStr">
        <is>
          <t>브랜드커머스, 모여라딜 리드</t>
        </is>
      </c>
      <c r="D29" s="56" t="n">
        <v>46246</v>
      </c>
      <c r="E29" s="8" t="inlineStr">
        <is>
          <t>수</t>
        </is>
      </c>
      <c r="F29" s="57" t="n">
        <v>0.5</v>
      </c>
      <c r="G29" s="57" t="n">
        <v>0.5416666666666666</v>
      </c>
      <c r="H29" s="7">
        <f>IF(OR(F29="",G29=""),"",(G29-F29)*1440)</f>
        <v/>
      </c>
      <c r="I29" s="8" t="inlineStr">
        <is>
          <t>기타·행정</t>
        </is>
      </c>
      <c r="J29" s="8" t="inlineStr">
        <is>
          <t>ETC-05 휴게·점심</t>
        </is>
      </c>
      <c r="K29" s="8" t="inlineStr">
        <is>
          <t>점심 및 휴게</t>
        </is>
      </c>
      <c r="L29" s="8" t="n"/>
      <c r="M29" s="8" t="n"/>
      <c r="N29" s="8" t="n"/>
      <c r="O29" s="8" t="n"/>
      <c r="P29" s="8" t="n"/>
      <c r="Q29" s="8" t="inlineStr">
        <is>
          <t>매일</t>
        </is>
      </c>
      <c r="R29" s="8" t="inlineStr">
        <is>
          <t>정형(매뉴얼화 가능)</t>
        </is>
      </c>
      <c r="S29" s="8" t="inlineStr">
        <is>
          <t>예 - 확실히 중복</t>
        </is>
      </c>
      <c r="T29" s="8" t="n"/>
    </row>
    <row r="30">
      <c r="A30" s="8" t="inlineStr">
        <is>
          <t>브랜드커머스</t>
        </is>
      </c>
      <c r="B30" s="8" t="inlineStr">
        <is>
          <t>김송희</t>
        </is>
      </c>
      <c r="C30" s="8" t="inlineStr">
        <is>
          <t>브랜드커머스, 모여라딜 리드</t>
        </is>
      </c>
      <c r="D30" s="56" t="n">
        <v>46246</v>
      </c>
      <c r="E30" s="8" t="inlineStr">
        <is>
          <t>수</t>
        </is>
      </c>
      <c r="F30" s="57" t="n">
        <v>0.5416666666666666</v>
      </c>
      <c r="G30" s="57" t="n">
        <v>0.5833333333333334</v>
      </c>
      <c r="H30" s="7">
        <f>IF(OR(F30="",G30=""),"",(G30-F30)*1440)</f>
        <v/>
      </c>
      <c r="I30" s="8" t="inlineStr">
        <is>
          <t>기획·보고·회의</t>
        </is>
      </c>
      <c r="J30" s="8" t="inlineStr">
        <is>
          <t>MGT-06 팀원 업무·산출물 검토·피드백</t>
        </is>
      </c>
      <c r="K30" s="8" t="inlineStr">
        <is>
          <t>AX+업무리스트 보고서 검토 및 피드백(정하님)</t>
        </is>
      </c>
      <c r="L30" s="8" t="inlineStr">
        <is>
          <t>팀 업무관리</t>
        </is>
      </c>
      <c r="M30" s="8" t="inlineStr">
        <is>
          <t>POUR OS(업무보드)</t>
        </is>
      </c>
      <c r="N30" s="8" t="inlineStr">
        <is>
          <t>정하</t>
        </is>
      </c>
      <c r="O30" s="8" t="n"/>
      <c r="P30" s="8" t="inlineStr">
        <is>
          <t>검토 피드백</t>
        </is>
      </c>
      <c r="Q30" s="8" t="inlineStr">
        <is>
          <t>주 1회</t>
        </is>
      </c>
      <c r="R30" s="8" t="inlineStr">
        <is>
          <t>비정형(판단 필요)</t>
        </is>
      </c>
      <c r="S30" s="8" t="inlineStr">
        <is>
          <t>아마도 중복</t>
        </is>
      </c>
      <c r="T30" s="8" t="inlineStr">
        <is>
          <t>업무보드 데이터 자동 집계로 보고서 수기작성 제거</t>
        </is>
      </c>
    </row>
    <row r="31">
      <c r="A31" s="8" t="inlineStr">
        <is>
          <t>브랜드커머스</t>
        </is>
      </c>
      <c r="B31" s="8" t="inlineStr">
        <is>
          <t>김송희</t>
        </is>
      </c>
      <c r="C31" s="8" t="inlineStr">
        <is>
          <t>브랜드커머스, 모여라딜 리드</t>
        </is>
      </c>
      <c r="D31" s="56" t="n">
        <v>46246</v>
      </c>
      <c r="E31" s="8" t="inlineStr">
        <is>
          <t>수</t>
        </is>
      </c>
      <c r="F31" s="57" t="n">
        <v>0.5833333333333334</v>
      </c>
      <c r="G31" s="57" t="n">
        <v>0.625</v>
      </c>
      <c r="H31" s="7">
        <f>IF(OR(F31="",G31=""),"",(G31-F31)*1440)</f>
        <v/>
      </c>
      <c r="I31" s="8" t="inlineStr">
        <is>
          <t>기획·보고·회의</t>
        </is>
      </c>
      <c r="J31" s="8" t="inlineStr">
        <is>
          <t>MGT-06 팀원 업무·산출물 검토·피드백</t>
        </is>
      </c>
      <c r="K31" s="8" t="inlineStr">
        <is>
          <t>AX+업무리스트 보고서 검토 및 피드백(채림님)</t>
        </is>
      </c>
      <c r="L31" s="8" t="inlineStr">
        <is>
          <t>팀 업무관리</t>
        </is>
      </c>
      <c r="M31" s="8" t="inlineStr">
        <is>
          <t>POUR OS(업무보드)</t>
        </is>
      </c>
      <c r="N31" s="8" t="inlineStr">
        <is>
          <t>양채림</t>
        </is>
      </c>
      <c r="O31" s="8" t="n"/>
      <c r="P31" s="8" t="inlineStr">
        <is>
          <t>검토 피드백</t>
        </is>
      </c>
      <c r="Q31" s="8" t="inlineStr">
        <is>
          <t>주 1회</t>
        </is>
      </c>
      <c r="R31" s="8" t="inlineStr">
        <is>
          <t>비정형(판단 필요)</t>
        </is>
      </c>
      <c r="S31" s="8" t="inlineStr">
        <is>
          <t>아마도 중복</t>
        </is>
      </c>
      <c r="T31" s="8" t="inlineStr">
        <is>
          <t>업무보드 데이터 자동 집계로 보고서 수기작성 제거</t>
        </is>
      </c>
    </row>
    <row r="32">
      <c r="A32" s="8" t="inlineStr">
        <is>
          <t>브랜드커머스</t>
        </is>
      </c>
      <c r="B32" s="8" t="inlineStr">
        <is>
          <t>김송희</t>
        </is>
      </c>
      <c r="C32" s="8" t="inlineStr">
        <is>
          <t>브랜드커머스, 모여라딜 리드</t>
        </is>
      </c>
      <c r="D32" s="56" t="n">
        <v>46246</v>
      </c>
      <c r="E32" s="8" t="inlineStr">
        <is>
          <t>수</t>
        </is>
      </c>
      <c r="F32" s="57" t="n">
        <v>0.625</v>
      </c>
      <c r="G32" s="57" t="n">
        <v>0.6666666666666666</v>
      </c>
      <c r="H32" s="7">
        <f>IF(OR(F32="",G32=""),"",(G32-F32)*1440)</f>
        <v/>
      </c>
      <c r="I32" s="8" t="inlineStr">
        <is>
          <t>기획·보고·회의</t>
        </is>
      </c>
      <c r="J32" s="8" t="inlineStr">
        <is>
          <t>MGT-07 업무 인수인계·이관</t>
        </is>
      </c>
      <c r="K32" s="8" t="inlineStr">
        <is>
          <t>그로홈 업무 인수인계 받음 — 담당 범위·진행건 확인</t>
        </is>
      </c>
      <c r="L32" s="8" t="inlineStr">
        <is>
          <t>그로홈</t>
        </is>
      </c>
      <c r="M32" s="8" t="inlineStr">
        <is>
          <t>POUR OS(업무보드)</t>
        </is>
      </c>
      <c r="N32" s="8" t="n"/>
      <c r="O32" s="8" t="n"/>
      <c r="P32" s="8" t="inlineStr">
        <is>
          <t>인수인계 항목 정리</t>
        </is>
      </c>
      <c r="Q32" s="8" t="inlineStr">
        <is>
          <t>1회성</t>
        </is>
      </c>
      <c r="R32" s="8" t="inlineStr">
        <is>
          <t>비정형(판단 필요)</t>
        </is>
      </c>
      <c r="S32" s="8" t="inlineStr">
        <is>
          <t>모름</t>
        </is>
      </c>
      <c r="T32" s="8" t="inlineStr">
        <is>
          <t>인수인계 체크리스트·담당 매핑표 상시 관리</t>
        </is>
      </c>
    </row>
    <row r="33">
      <c r="A33" s="8" t="inlineStr">
        <is>
          <t>브랜드커머스</t>
        </is>
      </c>
      <c r="B33" s="8" t="inlineStr">
        <is>
          <t>김송희</t>
        </is>
      </c>
      <c r="C33" s="8" t="inlineStr">
        <is>
          <t>브랜드커머스, 모여라딜 리드</t>
        </is>
      </c>
      <c r="D33" s="56" t="n">
        <v>46246</v>
      </c>
      <c r="E33" s="8" t="inlineStr">
        <is>
          <t>수</t>
        </is>
      </c>
      <c r="F33" s="57" t="n">
        <v>0.6666666666666666</v>
      </c>
      <c r="G33" s="57" t="n">
        <v>0.7291666666666666</v>
      </c>
      <c r="H33" s="7">
        <f>IF(OR(F33="",G33=""),"",(G33-F33)*1440)</f>
        <v/>
      </c>
      <c r="I33" s="8" t="inlineStr">
        <is>
          <t>콘텐츠제작</t>
        </is>
      </c>
      <c r="J33" s="8" t="inlineStr">
        <is>
          <t>CNT-07 카탈로그·영업자료 제작</t>
        </is>
      </c>
      <c r="K33" s="8" t="inlineStr">
        <is>
          <t>부자재 소개 카달로그 제작</t>
        </is>
      </c>
      <c r="L33" s="8" t="inlineStr">
        <is>
          <t>부자재</t>
        </is>
      </c>
      <c r="M33" s="8" t="n"/>
      <c r="N33" s="8" t="n"/>
      <c r="O33" s="8" t="n"/>
      <c r="P33" s="8" t="inlineStr">
        <is>
          <t>부자재 소개 카달로그</t>
        </is>
      </c>
      <c r="Q33" s="8" t="inlineStr">
        <is>
          <t>1회성</t>
        </is>
      </c>
      <c r="R33" s="8" t="inlineStr">
        <is>
          <t>반정형</t>
        </is>
      </c>
      <c r="S33" s="8" t="inlineStr">
        <is>
          <t>아마도 중복</t>
        </is>
      </c>
      <c r="T33" s="8" t="inlineStr">
        <is>
          <t>상품 마스터 데이터로 카달로그 자동 생성</t>
        </is>
      </c>
    </row>
    <row r="34">
      <c r="A34" s="8" t="inlineStr">
        <is>
          <t>브랜드커머스</t>
        </is>
      </c>
      <c r="B34" s="8" t="inlineStr">
        <is>
          <t>김송희</t>
        </is>
      </c>
      <c r="C34" s="8" t="inlineStr">
        <is>
          <t>브랜드커머스, 모여라딜 리드</t>
        </is>
      </c>
      <c r="D34" s="56" t="n">
        <v>46246</v>
      </c>
      <c r="E34" s="8" t="inlineStr">
        <is>
          <t>수</t>
        </is>
      </c>
      <c r="F34" s="57" t="n">
        <v>0.7291666666666666</v>
      </c>
      <c r="G34" s="57" t="n">
        <v>0.75</v>
      </c>
      <c r="H34" s="7">
        <f>IF(OR(F34="",G34=""),"",(G34-F34)*1440)</f>
        <v/>
      </c>
      <c r="I34" s="8" t="inlineStr">
        <is>
          <t>제조·생산관리</t>
        </is>
      </c>
      <c r="J34" s="8" t="inlineStr">
        <is>
          <t>MFG-08 MSDS·라벨 등 제품 표시사항 제작</t>
        </is>
      </c>
      <c r="K34" s="8" t="inlineStr">
        <is>
          <t>신제품 코트재 MSDS 컬러별 31개 제작 — 진행중</t>
        </is>
      </c>
      <c r="L34" s="8" t="inlineStr">
        <is>
          <t>코트재 신제품 31색</t>
        </is>
      </c>
      <c r="M34" s="8" t="n"/>
      <c r="N34" s="8" t="n"/>
      <c r="O34" s="8" t="inlineStr">
        <is>
          <t>세이고, 쿠팡물류센터</t>
        </is>
      </c>
      <c r="P34" s="8" t="inlineStr">
        <is>
          <t>MSDS 31종</t>
        </is>
      </c>
      <c r="Q34" s="8" t="inlineStr">
        <is>
          <t>1회성</t>
        </is>
      </c>
      <c r="R34" s="8" t="inlineStr">
        <is>
          <t>반정형</t>
        </is>
      </c>
      <c r="S34" s="8" t="inlineStr">
        <is>
          <t>아니오 - 우리팀 고유</t>
        </is>
      </c>
      <c r="T34" s="8" t="inlineStr">
        <is>
          <t>품목·색상 데이터 연동으로 MSDS 서식 자동 생성</t>
        </is>
      </c>
    </row>
    <row r="35">
      <c r="A35" s="8" t="inlineStr">
        <is>
          <t>브랜드커머스</t>
        </is>
      </c>
      <c r="B35" s="8" t="inlineStr">
        <is>
          <t>김송희</t>
        </is>
      </c>
      <c r="C35" s="8" t="inlineStr">
        <is>
          <t>브랜드커머스, 모여라딜 리드</t>
        </is>
      </c>
      <c r="D35" s="56" t="n">
        <v>46247</v>
      </c>
      <c r="E35" s="8" t="inlineStr">
        <is>
          <t>목</t>
        </is>
      </c>
      <c r="F35" s="57" t="n">
        <v>0.375</v>
      </c>
      <c r="G35" s="57" t="n">
        <v>0.3958333333333333</v>
      </c>
      <c r="H35" s="7">
        <f>IF(OR(F35="",G35=""),"",(G35-F35)*1440)</f>
        <v/>
      </c>
      <c r="I35" s="8" t="inlineStr">
        <is>
          <t>기타·행정</t>
        </is>
      </c>
      <c r="J35" s="8" t="inlineStr">
        <is>
          <t>ETC-01 메일·메신저 확인 및 회신</t>
        </is>
      </c>
      <c r="K35" s="8" t="inlineStr">
        <is>
          <t>출근 후 메일·메신저·업무보드 확인 및 회신</t>
        </is>
      </c>
      <c r="L35" s="8" t="inlineStr">
        <is>
          <t>전사</t>
        </is>
      </c>
      <c r="M35" s="8" t="inlineStr">
        <is>
          <t>POUR OS(업무보드)</t>
        </is>
      </c>
      <c r="N35" s="8" t="n"/>
      <c r="O35" s="8" t="n"/>
      <c r="P35" s="8" t="inlineStr">
        <is>
          <t>회신 처리</t>
        </is>
      </c>
      <c r="Q35" s="8" t="inlineStr">
        <is>
          <t>매일</t>
        </is>
      </c>
      <c r="R35" s="8" t="inlineStr">
        <is>
          <t>정형(매뉴얼화 가능)</t>
        </is>
      </c>
      <c r="S35" s="8" t="inlineStr">
        <is>
          <t>예 - 확실히 중복</t>
        </is>
      </c>
      <c r="T35" s="8" t="inlineStr">
        <is>
          <t>팀별 요청·공지를 업무보드 알림 하나로 일원화</t>
        </is>
      </c>
    </row>
    <row r="36">
      <c r="A36" s="8" t="inlineStr">
        <is>
          <t>브랜드커머스</t>
        </is>
      </c>
      <c r="B36" s="8" t="inlineStr">
        <is>
          <t>김송희</t>
        </is>
      </c>
      <c r="C36" s="8" t="inlineStr">
        <is>
          <t>브랜드커머스, 모여라딜 리드</t>
        </is>
      </c>
      <c r="D36" s="56" t="n">
        <v>46247</v>
      </c>
      <c r="E36" s="8" t="inlineStr">
        <is>
          <t>목</t>
        </is>
      </c>
      <c r="F36" s="57" t="n">
        <v>0.3958333333333333</v>
      </c>
      <c r="G36" s="57" t="n">
        <v>0.4375</v>
      </c>
      <c r="H36" s="7">
        <f>IF(OR(F36="",G36=""),"",(G36-F36)*1440)</f>
        <v/>
      </c>
      <c r="I36" s="8" t="inlineStr">
        <is>
          <t>마케팅·광고운영</t>
        </is>
      </c>
      <c r="J36" s="8" t="inlineStr">
        <is>
          <t>MKT-08 제휴마케팅(링크프라이스 등) 운영·성과확인</t>
        </is>
      </c>
      <c r="K36" s="8" t="inlineStr">
        <is>
          <t>링크프라이스 네이버쇼핑·파워링크 주간보고 수령 → 본부장님 보고 → 보성님 인계</t>
        </is>
      </c>
      <c r="L36" s="8" t="inlineStr">
        <is>
          <t>POUR스토어 / 네이버쇼핑·파워링크</t>
        </is>
      </c>
      <c r="M36" s="8" t="inlineStr">
        <is>
          <t>링크프라이스 관리자</t>
        </is>
      </c>
      <c r="N36" s="8" t="inlineStr">
        <is>
          <t>본부장, 보성님</t>
        </is>
      </c>
      <c r="O36" s="8" t="inlineStr">
        <is>
          <t>링크프라이스</t>
        </is>
      </c>
      <c r="P36" s="8" t="inlineStr">
        <is>
          <t>제휴·검색광고 주간보고</t>
        </is>
      </c>
      <c r="Q36" s="8" t="inlineStr">
        <is>
          <t>주 1회</t>
        </is>
      </c>
      <c r="R36" s="8" t="inlineStr">
        <is>
          <t>정형(매뉴얼화 가능)</t>
        </is>
      </c>
      <c r="S36" s="8" t="inlineStr">
        <is>
          <t>예 - 확실히 중복</t>
        </is>
      </c>
      <c r="T36" s="8" t="inlineStr">
        <is>
          <t>주간보고 자동 생성 후 공유(수령→전달 단계 제거)</t>
        </is>
      </c>
    </row>
    <row r="37">
      <c r="A37" s="8" t="inlineStr">
        <is>
          <t>브랜드커머스</t>
        </is>
      </c>
      <c r="B37" s="8" t="inlineStr">
        <is>
          <t>김송희</t>
        </is>
      </c>
      <c r="C37" s="8" t="inlineStr">
        <is>
          <t>브랜드커머스, 모여라딜 리드</t>
        </is>
      </c>
      <c r="D37" s="56" t="n">
        <v>46247</v>
      </c>
      <c r="E37" s="8" t="inlineStr">
        <is>
          <t>목</t>
        </is>
      </c>
      <c r="F37" s="57" t="n">
        <v>0.4375</v>
      </c>
      <c r="G37" s="57" t="n">
        <v>0.4791666666666667</v>
      </c>
      <c r="H37" s="7">
        <f>IF(OR(F37="",G37=""),"",(G37-F37)*1440)</f>
        <v/>
      </c>
      <c r="I37" s="8" t="inlineStr">
        <is>
          <t>기타·행정</t>
        </is>
      </c>
      <c r="J37" s="8" t="inlineStr">
        <is>
          <t>ETC-02 행정·경비·구매 처리</t>
        </is>
      </c>
      <c r="K37" s="8" t="inlineStr">
        <is>
          <t>씰맥스프로 결제 처리 및 세이고 입고내역 자료 송부(김성준 공장장님께)</t>
        </is>
      </c>
      <c r="L37" s="8" t="inlineStr">
        <is>
          <t>씰맥스프로 / 세이고</t>
        </is>
      </c>
      <c r="M37" s="8" t="n"/>
      <c r="N37" s="8" t="n"/>
      <c r="O37" s="8" t="inlineStr">
        <is>
          <t>세이고, 김성준 공장장</t>
        </is>
      </c>
      <c r="P37" s="8" t="inlineStr">
        <is>
          <t>결제 완료·입고내역 자료</t>
        </is>
      </c>
      <c r="Q37" s="8" t="inlineStr">
        <is>
          <t>주 1회</t>
        </is>
      </c>
      <c r="R37" s="8" t="inlineStr">
        <is>
          <t>정형(매뉴얼화 가능)</t>
        </is>
      </c>
      <c r="S37" s="8" t="inlineStr">
        <is>
          <t>아마도 중복</t>
        </is>
      </c>
      <c r="T37" s="8" t="inlineStr">
        <is>
          <t>결제·입고내역 자동 정산 시트 연동</t>
        </is>
      </c>
    </row>
    <row r="38">
      <c r="A38" s="8" t="inlineStr">
        <is>
          <t>브랜드커머스</t>
        </is>
      </c>
      <c r="B38" s="8" t="inlineStr">
        <is>
          <t>김송희</t>
        </is>
      </c>
      <c r="C38" s="8" t="inlineStr">
        <is>
          <t>브랜드커머스, 모여라딜 리드</t>
        </is>
      </c>
      <c r="D38" s="56" t="n">
        <v>46247</v>
      </c>
      <c r="E38" s="8" t="inlineStr">
        <is>
          <t>목</t>
        </is>
      </c>
      <c r="F38" s="57" t="n">
        <v>0.4791666666666667</v>
      </c>
      <c r="G38" s="57" t="n">
        <v>0.5</v>
      </c>
      <c r="H38" s="7">
        <f>IF(OR(F38="",G38=""),"",(G38-F38)*1440)</f>
        <v/>
      </c>
      <c r="I38" s="8" t="inlineStr">
        <is>
          <t>기획·보고·회의</t>
        </is>
      </c>
      <c r="J38" s="8" t="inlineStr">
        <is>
          <t>MGT-06 팀원 업무·산출물 검토·피드백</t>
        </is>
      </c>
      <c r="K38" s="8" t="inlineStr">
        <is>
          <t>정하님 업무정리 리스트 검토</t>
        </is>
      </c>
      <c r="L38" s="8" t="inlineStr">
        <is>
          <t>팀 업무관리</t>
        </is>
      </c>
      <c r="M38" s="8" t="inlineStr">
        <is>
          <t>POUR OS(업무보드)</t>
        </is>
      </c>
      <c r="N38" s="8" t="inlineStr">
        <is>
          <t>정하</t>
        </is>
      </c>
      <c r="O38" s="8" t="n"/>
      <c r="P38" s="8" t="inlineStr">
        <is>
          <t>검토 의견</t>
        </is>
      </c>
      <c r="Q38" s="8" t="inlineStr">
        <is>
          <t>주 1회</t>
        </is>
      </c>
      <c r="R38" s="8" t="inlineStr">
        <is>
          <t>비정형(판단 필요)</t>
        </is>
      </c>
      <c r="S38" s="8" t="inlineStr">
        <is>
          <t>아마도 중복</t>
        </is>
      </c>
      <c r="T38" s="8" t="inlineStr">
        <is>
          <t>업무보드 데이터 자동 집계로 대체</t>
        </is>
      </c>
    </row>
    <row r="39">
      <c r="A39" s="8" t="inlineStr">
        <is>
          <t>브랜드커머스</t>
        </is>
      </c>
      <c r="B39" s="8" t="inlineStr">
        <is>
          <t>김송희</t>
        </is>
      </c>
      <c r="C39" s="8" t="inlineStr">
        <is>
          <t>브랜드커머스, 모여라딜 리드</t>
        </is>
      </c>
      <c r="D39" s="56" t="n">
        <v>46247</v>
      </c>
      <c r="E39" s="8" t="inlineStr">
        <is>
          <t>목</t>
        </is>
      </c>
      <c r="F39" s="57" t="n">
        <v>0.5</v>
      </c>
      <c r="G39" s="57" t="n">
        <v>0.5416666666666666</v>
      </c>
      <c r="H39" s="7">
        <f>IF(OR(F39="",G39=""),"",(G39-F39)*1440)</f>
        <v/>
      </c>
      <c r="I39" s="8" t="inlineStr">
        <is>
          <t>기타·행정</t>
        </is>
      </c>
      <c r="J39" s="8" t="inlineStr">
        <is>
          <t>ETC-05 휴게·점심</t>
        </is>
      </c>
      <c r="K39" s="8" t="inlineStr">
        <is>
          <t>점심 및 휴게</t>
        </is>
      </c>
      <c r="L39" s="8" t="n"/>
      <c r="M39" s="8" t="n"/>
      <c r="N39" s="8" t="n"/>
      <c r="O39" s="8" t="n"/>
      <c r="P39" s="8" t="n"/>
      <c r="Q39" s="8" t="inlineStr">
        <is>
          <t>매일</t>
        </is>
      </c>
      <c r="R39" s="8" t="inlineStr">
        <is>
          <t>정형(매뉴얼화 가능)</t>
        </is>
      </c>
      <c r="S39" s="8" t="inlineStr">
        <is>
          <t>예 - 확실히 중복</t>
        </is>
      </c>
      <c r="T39" s="8" t="n"/>
    </row>
    <row r="40">
      <c r="A40" s="8" t="inlineStr">
        <is>
          <t>브랜드커머스</t>
        </is>
      </c>
      <c r="B40" s="8" t="inlineStr">
        <is>
          <t>김송희</t>
        </is>
      </c>
      <c r="C40" s="8" t="inlineStr">
        <is>
          <t>브랜드커머스, 모여라딜 리드</t>
        </is>
      </c>
      <c r="D40" s="56" t="n">
        <v>46247</v>
      </c>
      <c r="E40" s="8" t="inlineStr">
        <is>
          <t>목</t>
        </is>
      </c>
      <c r="F40" s="57" t="n">
        <v>0.5416666666666666</v>
      </c>
      <c r="G40" s="57" t="n">
        <v>0.6041666666666666</v>
      </c>
      <c r="H40" s="7">
        <f>IF(OR(F40="",G40=""),"",(G40-F40)*1440)</f>
        <v/>
      </c>
      <c r="I40" s="8" t="inlineStr">
        <is>
          <t>마케팅·광고운영</t>
        </is>
      </c>
      <c r="J40" s="8" t="inlineStr">
        <is>
          <t>MKT-04 인플루언서·체험단 섭외/관리</t>
        </is>
      </c>
      <c r="K40" s="8" t="inlineStr">
        <is>
          <t>채림님 퍼포먼스마케팅 진행 방안(①직판 ②대리점·파트너사 2트랙 바이럴) 안내 및 매체·대행사 시장조사 요청</t>
        </is>
      </c>
      <c r="L40" s="8" t="inlineStr">
        <is>
          <t>POUR스토어 / 블로그·유튜브·카페·인스타</t>
        </is>
      </c>
      <c r="M40" s="8" t="inlineStr">
        <is>
          <t>POUR OS(업무보드)</t>
        </is>
      </c>
      <c r="N40" s="8" t="inlineStr">
        <is>
          <t>양채림</t>
        </is>
      </c>
      <c r="O40" s="8" t="inlineStr">
        <is>
          <t>인플루언서, 바이럴 대행사(레뷰 등)</t>
        </is>
      </c>
      <c r="P40" s="8" t="inlineStr">
        <is>
          <t>진행 방안 안내·시장조사 요청서</t>
        </is>
      </c>
      <c r="Q40" s="8" t="inlineStr">
        <is>
          <t>주 1회</t>
        </is>
      </c>
      <c r="R40" s="8" t="inlineStr">
        <is>
          <t>비정형(판단 필요)</t>
        </is>
      </c>
      <c r="S40" s="8" t="inlineStr">
        <is>
          <t>아마도 중복</t>
        </is>
      </c>
      <c r="T40" s="8" t="inlineStr">
        <is>
          <t>바이럴 매체·대행사 후보 DB 공용화</t>
        </is>
      </c>
    </row>
    <row r="41">
      <c r="A41" s="8" t="inlineStr">
        <is>
          <t>브랜드커머스</t>
        </is>
      </c>
      <c r="B41" s="8" t="inlineStr">
        <is>
          <t>김송희</t>
        </is>
      </c>
      <c r="C41" s="8" t="inlineStr">
        <is>
          <t>브랜드커머스, 모여라딜 리드</t>
        </is>
      </c>
      <c r="D41" s="56" t="n">
        <v>46247</v>
      </c>
      <c r="E41" s="8" t="inlineStr">
        <is>
          <t>목</t>
        </is>
      </c>
      <c r="F41" s="57" t="n">
        <v>0.6041666666666666</v>
      </c>
      <c r="G41" s="57" t="n">
        <v>0.6458333333333334</v>
      </c>
      <c r="H41" s="7">
        <f>IF(OR(F41="",G41=""),"",(G41-F41)*1440)</f>
        <v/>
      </c>
      <c r="I41" s="8" t="inlineStr">
        <is>
          <t>채널·스토어운영</t>
        </is>
      </c>
      <c r="J41" s="8" t="inlineStr">
        <is>
          <t>CHN-03 자사몰 운영·관리</t>
        </is>
      </c>
      <c r="K41" s="8" t="inlineStr">
        <is>
          <t>자사몰 회원 등급별 구매가능 상품 확인 페이지 제작 및 랜딩 링크 삽입 요청</t>
        </is>
      </c>
      <c r="L41" s="8" t="inlineStr">
        <is>
          <t>POUR스토어 자사몰</t>
        </is>
      </c>
      <c r="M41" s="8" t="inlineStr">
        <is>
          <t>자사몰 관리자</t>
        </is>
      </c>
      <c r="N41" s="8" t="n"/>
      <c r="O41" s="8" t="n"/>
      <c r="P41" s="8" t="inlineStr">
        <is>
          <t>등급별 구매가능 페이지 요청서</t>
        </is>
      </c>
      <c r="Q41" s="8" t="inlineStr">
        <is>
          <t>1회성</t>
        </is>
      </c>
      <c r="R41" s="8" t="inlineStr">
        <is>
          <t>반정형</t>
        </is>
      </c>
      <c r="S41" s="8" t="inlineStr">
        <is>
          <t>모름</t>
        </is>
      </c>
      <c r="T41" s="8" t="inlineStr">
        <is>
          <t>회원등급·판매권한 데이터 연동으로 페이지 자동 생성</t>
        </is>
      </c>
    </row>
    <row r="42">
      <c r="A42" s="8" t="inlineStr">
        <is>
          <t>브랜드커머스</t>
        </is>
      </c>
      <c r="B42" s="8" t="inlineStr">
        <is>
          <t>김송희</t>
        </is>
      </c>
      <c r="C42" s="8" t="inlineStr">
        <is>
          <t>브랜드커머스, 모여라딜 리드</t>
        </is>
      </c>
      <c r="D42" s="56" t="n">
        <v>46247</v>
      </c>
      <c r="E42" s="8" t="inlineStr">
        <is>
          <t>목</t>
        </is>
      </c>
      <c r="F42" s="57" t="n">
        <v>0.6458333333333334</v>
      </c>
      <c r="G42" s="57" t="n">
        <v>0.7083333333333334</v>
      </c>
      <c r="H42" s="7">
        <f>IF(OR(F42="",G42=""),"",(G42-F42)*1440)</f>
        <v/>
      </c>
      <c r="I42" s="8" t="inlineStr">
        <is>
          <t>데이터·정산</t>
        </is>
      </c>
      <c r="J42" s="8" t="inlineStr">
        <is>
          <t>DAT-04 리포트·대시보드 작성</t>
        </is>
      </c>
      <c r="K42" s="8" t="inlineStr">
        <is>
          <t>POUR스토어 단가·공헌이익·손익계산 대시보드 제작 — 진행중</t>
        </is>
      </c>
      <c r="L42" s="8" t="inlineStr">
        <is>
          <t>POUR스토어</t>
        </is>
      </c>
      <c r="M42" s="8" t="inlineStr">
        <is>
          <t>단가 대시보드, 엑셀</t>
        </is>
      </c>
      <c r="N42" s="8" t="n"/>
      <c r="O42" s="8" t="n"/>
      <c r="P42" s="8" t="inlineStr">
        <is>
          <t>단가·공헌이익·손익 대시보드</t>
        </is>
      </c>
      <c r="Q42" s="8" t="inlineStr">
        <is>
          <t>주 2~3회</t>
        </is>
      </c>
      <c r="R42" s="8" t="inlineStr">
        <is>
          <t>비정형(판단 필요)</t>
        </is>
      </c>
      <c r="S42" s="8" t="inlineStr">
        <is>
          <t>아마도 중복</t>
        </is>
      </c>
      <c r="T42" s="8" t="inlineStr">
        <is>
          <t>채널 수수료·원가 데이터 자동 연동으로 수기 입력 제거</t>
        </is>
      </c>
    </row>
    <row r="43">
      <c r="A43" s="8" t="inlineStr">
        <is>
          <t>브랜드커머스</t>
        </is>
      </c>
      <c r="B43" s="8" t="inlineStr">
        <is>
          <t>김송희</t>
        </is>
      </c>
      <c r="C43" s="8" t="inlineStr">
        <is>
          <t>브랜드커머스, 모여라딜 리드</t>
        </is>
      </c>
      <c r="D43" s="56" t="n">
        <v>46247</v>
      </c>
      <c r="E43" s="8" t="inlineStr">
        <is>
          <t>목</t>
        </is>
      </c>
      <c r="F43" s="57" t="n">
        <v>0.7083333333333334</v>
      </c>
      <c r="G43" s="57" t="n">
        <v>0.75</v>
      </c>
      <c r="H43" s="7">
        <f>IF(OR(F43="",G43=""),"",(G43-F43)*1440)</f>
        <v/>
      </c>
      <c r="I43" s="8" t="inlineStr">
        <is>
          <t>제조·생산관리</t>
        </is>
      </c>
      <c r="J43" s="8" t="inlineStr">
        <is>
          <t>MFG-08 MSDS·라벨 등 제품 표시사항 제작</t>
        </is>
      </c>
      <c r="K43" s="8" t="inlineStr">
        <is>
          <t>신제품 코트재 MSDS 컬러별 31개 제작 — 진행중</t>
        </is>
      </c>
      <c r="L43" s="8" t="inlineStr">
        <is>
          <t>코트재 신제품 31색</t>
        </is>
      </c>
      <c r="M43" s="8" t="n"/>
      <c r="N43" s="8" t="n"/>
      <c r="O43" s="8" t="inlineStr">
        <is>
          <t>세이고, 쿠팡물류센터</t>
        </is>
      </c>
      <c r="P43" s="8" t="inlineStr">
        <is>
          <t>MSDS 31종</t>
        </is>
      </c>
      <c r="Q43" s="8" t="inlineStr">
        <is>
          <t>1회성</t>
        </is>
      </c>
      <c r="R43" s="8" t="inlineStr">
        <is>
          <t>반정형</t>
        </is>
      </c>
      <c r="S43" s="8" t="inlineStr">
        <is>
          <t>아니오 - 우리팀 고유</t>
        </is>
      </c>
      <c r="T43" s="8" t="inlineStr">
        <is>
          <t>품목·색상 데이터 연동으로 MSDS 서식 자동 생성</t>
        </is>
      </c>
    </row>
    <row r="44">
      <c r="A44" s="8" t="inlineStr">
        <is>
          <t>브랜드커머스</t>
        </is>
      </c>
      <c r="B44" s="8" t="inlineStr">
        <is>
          <t>김송희</t>
        </is>
      </c>
      <c r="C44" s="8" t="inlineStr">
        <is>
          <t>브랜드커머스, 모여라딜 리드</t>
        </is>
      </c>
      <c r="D44" s="56" t="n">
        <v>46248</v>
      </c>
      <c r="E44" s="8" t="inlineStr">
        <is>
          <t>금</t>
        </is>
      </c>
      <c r="F44" s="57" t="n">
        <v>0.375</v>
      </c>
      <c r="G44" s="57" t="n">
        <v>0.4583333333333333</v>
      </c>
      <c r="H44" s="7">
        <f>IF(OR(F44="",G44=""),"",(G44-F44)*1440)</f>
        <v/>
      </c>
      <c r="I44" s="8" t="inlineStr">
        <is>
          <t>기타·행정</t>
        </is>
      </c>
      <c r="J44" s="8" t="inlineStr">
        <is>
          <t>ETC-04 이동·외근</t>
        </is>
      </c>
      <c r="K44" s="8" t="inlineStr">
        <is>
          <t>부산 대리점 방문 이동(사무실 → 부산)</t>
        </is>
      </c>
      <c r="L44" s="8" t="inlineStr">
        <is>
          <t>대리점(가나랜드·겸남지사)</t>
        </is>
      </c>
      <c r="M44" s="8" t="n"/>
      <c r="N44" s="8" t="n"/>
      <c r="O44" s="8" t="n"/>
      <c r="P44" s="8" t="n"/>
      <c r="Q44" s="8" t="inlineStr">
        <is>
          <t>분기/비정기</t>
        </is>
      </c>
      <c r="R44" s="8" t="inlineStr">
        <is>
          <t>정형(매뉴얼화 가능)</t>
        </is>
      </c>
      <c r="S44" s="8" t="inlineStr">
        <is>
          <t>아마도 중복</t>
        </is>
      </c>
      <c r="T44" s="8" t="inlineStr">
        <is>
          <t>인근 대리점 방문 일정 묶어 이동시간 절감</t>
        </is>
      </c>
    </row>
    <row r="45">
      <c r="A45" s="8" t="inlineStr">
        <is>
          <t>브랜드커머스</t>
        </is>
      </c>
      <c r="B45" s="8" t="inlineStr">
        <is>
          <t>김송희</t>
        </is>
      </c>
      <c r="C45" s="8" t="inlineStr">
        <is>
          <t>브랜드커머스, 모여라딜 리드</t>
        </is>
      </c>
      <c r="D45" s="56" t="n">
        <v>46248</v>
      </c>
      <c r="E45" s="8" t="inlineStr">
        <is>
          <t>금</t>
        </is>
      </c>
      <c r="F45" s="57" t="n">
        <v>0.4583333333333333</v>
      </c>
      <c r="G45" s="57" t="n">
        <v>0.5</v>
      </c>
      <c r="H45" s="7">
        <f>IF(OR(F45="",G45=""),"",(G45-F45)*1440)</f>
        <v/>
      </c>
      <c r="I45" s="8" t="inlineStr">
        <is>
          <t>파트너·대리점관리</t>
        </is>
      </c>
      <c r="J45" s="8" t="inlineStr">
        <is>
          <t>PTR-01 대리점·파트너사 방문·미팅</t>
        </is>
      </c>
      <c r="K45" s="8" t="inlineStr">
        <is>
          <t>가나랜드 대리점 방문 미팅 — 판매 현황·요청사항 청취</t>
        </is>
      </c>
      <c r="L45" s="8" t="inlineStr">
        <is>
          <t>가나랜드</t>
        </is>
      </c>
      <c r="M45" s="8" t="n"/>
      <c r="N45" s="8" t="n"/>
      <c r="O45" s="8" t="inlineStr">
        <is>
          <t>가나랜드</t>
        </is>
      </c>
      <c r="P45" s="8" t="inlineStr">
        <is>
          <t>방문 미팅 기록</t>
        </is>
      </c>
      <c r="Q45" s="8" t="inlineStr">
        <is>
          <t>분기/비정기</t>
        </is>
      </c>
      <c r="R45" s="8" t="inlineStr">
        <is>
          <t>반정형</t>
        </is>
      </c>
      <c r="S45" s="8" t="inlineStr">
        <is>
          <t>모름</t>
        </is>
      </c>
      <c r="T45" s="8" t="inlineStr">
        <is>
          <t>대리점 방문 결과를 공용 대리점 카드에 기록·공유</t>
        </is>
      </c>
    </row>
    <row r="46">
      <c r="A46" s="8" t="inlineStr">
        <is>
          <t>브랜드커머스</t>
        </is>
      </c>
      <c r="B46" s="8" t="inlineStr">
        <is>
          <t>김송희</t>
        </is>
      </c>
      <c r="C46" s="8" t="inlineStr">
        <is>
          <t>브랜드커머스, 모여라딜 리드</t>
        </is>
      </c>
      <c r="D46" s="56" t="n">
        <v>46248</v>
      </c>
      <c r="E46" s="8" t="inlineStr">
        <is>
          <t>금</t>
        </is>
      </c>
      <c r="F46" s="57" t="n">
        <v>0.5</v>
      </c>
      <c r="G46" s="57" t="n">
        <v>0.5416666666666666</v>
      </c>
      <c r="H46" s="7">
        <f>IF(OR(F46="",G46=""),"",(G46-F46)*1440)</f>
        <v/>
      </c>
      <c r="I46" s="8" t="inlineStr">
        <is>
          <t>기타·행정</t>
        </is>
      </c>
      <c r="J46" s="8" t="inlineStr">
        <is>
          <t>ETC-05 휴게·점심</t>
        </is>
      </c>
      <c r="K46" s="8" t="inlineStr">
        <is>
          <t>점심 및 휴게</t>
        </is>
      </c>
      <c r="L46" s="8" t="n"/>
      <c r="M46" s="8" t="n"/>
      <c r="N46" s="8" t="n"/>
      <c r="O46" s="8" t="n"/>
      <c r="P46" s="8" t="n"/>
      <c r="Q46" s="8" t="inlineStr">
        <is>
          <t>매일</t>
        </is>
      </c>
      <c r="R46" s="8" t="inlineStr">
        <is>
          <t>정형(매뉴얼화 가능)</t>
        </is>
      </c>
      <c r="S46" s="8" t="inlineStr">
        <is>
          <t>예 - 확실히 중복</t>
        </is>
      </c>
      <c r="T46" s="8" t="n"/>
    </row>
    <row r="47">
      <c r="A47" s="8" t="inlineStr">
        <is>
          <t>브랜드커머스</t>
        </is>
      </c>
      <c r="B47" s="8" t="inlineStr">
        <is>
          <t>김송희</t>
        </is>
      </c>
      <c r="C47" s="8" t="inlineStr">
        <is>
          <t>브랜드커머스, 모여라딜 리드</t>
        </is>
      </c>
      <c r="D47" s="56" t="n">
        <v>46248</v>
      </c>
      <c r="E47" s="8" t="inlineStr">
        <is>
          <t>금</t>
        </is>
      </c>
      <c r="F47" s="57" t="n">
        <v>0.5416666666666666</v>
      </c>
      <c r="G47" s="57" t="n">
        <v>0.6041666666666666</v>
      </c>
      <c r="H47" s="7">
        <f>IF(OR(F47="",G47=""),"",(G47-F47)*1440)</f>
        <v/>
      </c>
      <c r="I47" s="8" t="inlineStr">
        <is>
          <t>파트너·대리점관리</t>
        </is>
      </c>
      <c r="J47" s="8" t="inlineStr">
        <is>
          <t>PTR-02 대리점·파트너 인터뷰·VOC 수집</t>
        </is>
      </c>
      <c r="K47" s="8" t="inlineStr">
        <is>
          <t>가나랜드 인터뷰 진행 및 현장 촬영(질문지 기반 VOC 수집)</t>
        </is>
      </c>
      <c r="L47" s="8" t="inlineStr">
        <is>
          <t>가나랜드</t>
        </is>
      </c>
      <c r="M47" s="8" t="n"/>
      <c r="N47" s="8" t="n"/>
      <c r="O47" s="8" t="inlineStr">
        <is>
          <t>가나랜드</t>
        </is>
      </c>
      <c r="P47" s="8" t="inlineStr">
        <is>
          <t>인터뷰 기록·현장 촬영물</t>
        </is>
      </c>
      <c r="Q47" s="8" t="inlineStr">
        <is>
          <t>분기/비정기</t>
        </is>
      </c>
      <c r="R47" s="8" t="inlineStr">
        <is>
          <t>반정형</t>
        </is>
      </c>
      <c r="S47" s="8" t="inlineStr">
        <is>
          <t>모름</t>
        </is>
      </c>
      <c r="T47" s="8" t="inlineStr">
        <is>
          <t>인터뷰 VOC를 상품·마케팅 기획 입력값으로 자동 연결</t>
        </is>
      </c>
    </row>
    <row r="48">
      <c r="A48" s="8" t="inlineStr">
        <is>
          <t>브랜드커머스</t>
        </is>
      </c>
      <c r="B48" s="8" t="inlineStr">
        <is>
          <t>김송희</t>
        </is>
      </c>
      <c r="C48" s="8" t="inlineStr">
        <is>
          <t>브랜드커머스, 모여라딜 리드</t>
        </is>
      </c>
      <c r="D48" s="56" t="n">
        <v>46248</v>
      </c>
      <c r="E48" s="8" t="inlineStr">
        <is>
          <t>금</t>
        </is>
      </c>
      <c r="F48" s="57" t="n">
        <v>0.6041666666666666</v>
      </c>
      <c r="G48" s="57" t="n">
        <v>0.625</v>
      </c>
      <c r="H48" s="7">
        <f>IF(OR(F48="",G48=""),"",(G48-F48)*1440)</f>
        <v/>
      </c>
      <c r="I48" s="8" t="inlineStr">
        <is>
          <t>기타·행정</t>
        </is>
      </c>
      <c r="J48" s="8" t="inlineStr">
        <is>
          <t>ETC-04 이동·외근</t>
        </is>
      </c>
      <c r="K48" s="8" t="inlineStr">
        <is>
          <t>가나랜드 → 겸남지사 이동</t>
        </is>
      </c>
      <c r="L48" s="8" t="inlineStr">
        <is>
          <t>대리점(겸남지사)</t>
        </is>
      </c>
      <c r="M48" s="8" t="n"/>
      <c r="N48" s="8" t="n"/>
      <c r="O48" s="8" t="n"/>
      <c r="P48" s="8" t="n"/>
      <c r="Q48" s="8" t="inlineStr">
        <is>
          <t>분기/비정기</t>
        </is>
      </c>
      <c r="R48" s="8" t="inlineStr">
        <is>
          <t>정형(매뉴얼화 가능)</t>
        </is>
      </c>
      <c r="S48" s="8" t="inlineStr">
        <is>
          <t>아마도 중복</t>
        </is>
      </c>
      <c r="T48" s="8" t="inlineStr">
        <is>
          <t>인근 대리점 방문 일정 묶어 이동시간 절감</t>
        </is>
      </c>
    </row>
    <row r="49">
      <c r="A49" s="8" t="inlineStr">
        <is>
          <t>브랜드커머스</t>
        </is>
      </c>
      <c r="B49" s="8" t="inlineStr">
        <is>
          <t>김송희</t>
        </is>
      </c>
      <c r="C49" s="8" t="inlineStr">
        <is>
          <t>브랜드커머스, 모여라딜 리드</t>
        </is>
      </c>
      <c r="D49" s="56" t="n">
        <v>46248</v>
      </c>
      <c r="E49" s="8" t="inlineStr">
        <is>
          <t>금</t>
        </is>
      </c>
      <c r="F49" s="57" t="n">
        <v>0.625</v>
      </c>
      <c r="G49" s="57" t="n">
        <v>0.6875</v>
      </c>
      <c r="H49" s="7">
        <f>IF(OR(F49="",G49=""),"",(G49-F49)*1440)</f>
        <v/>
      </c>
      <c r="I49" s="8" t="inlineStr">
        <is>
          <t>파트너·대리점관리</t>
        </is>
      </c>
      <c r="J49" s="8" t="inlineStr">
        <is>
          <t>PTR-01 대리점·파트너사 방문·미팅</t>
        </is>
      </c>
      <c r="K49" s="8" t="inlineStr">
        <is>
          <t>겸남지사 방문 미팅 및 인터뷰 진행</t>
        </is>
      </c>
      <c r="L49" s="8" t="inlineStr">
        <is>
          <t>겸남지사</t>
        </is>
      </c>
      <c r="M49" s="8" t="n"/>
      <c r="N49" s="8" t="n"/>
      <c r="O49" s="8" t="inlineStr">
        <is>
          <t>겸남지사</t>
        </is>
      </c>
      <c r="P49" s="8" t="inlineStr">
        <is>
          <t>방문 미팅·인터뷰 기록</t>
        </is>
      </c>
      <c r="Q49" s="8" t="inlineStr">
        <is>
          <t>분기/비정기</t>
        </is>
      </c>
      <c r="R49" s="8" t="inlineStr">
        <is>
          <t>반정형</t>
        </is>
      </c>
      <c r="S49" s="8" t="inlineStr">
        <is>
          <t>모름</t>
        </is>
      </c>
      <c r="T49" s="8" t="inlineStr">
        <is>
          <t>대리점 방문 결과를 공용 대리점 카드에 기록·공유</t>
        </is>
      </c>
    </row>
    <row r="50">
      <c r="A50" s="8" t="inlineStr">
        <is>
          <t>브랜드커머스</t>
        </is>
      </c>
      <c r="B50" s="8" t="inlineStr">
        <is>
          <t>김송희</t>
        </is>
      </c>
      <c r="C50" s="8" t="inlineStr">
        <is>
          <t>브랜드커머스, 모여라딜 리드</t>
        </is>
      </c>
      <c r="D50" s="56" t="n">
        <v>46248</v>
      </c>
      <c r="E50" s="8" t="inlineStr">
        <is>
          <t>금</t>
        </is>
      </c>
      <c r="F50" s="57" t="n">
        <v>0.6875</v>
      </c>
      <c r="G50" s="57" t="n">
        <v>0.75</v>
      </c>
      <c r="H50" s="7">
        <f>IF(OR(F50="",G50=""),"",(G50-F50)*1440)</f>
        <v/>
      </c>
      <c r="I50" s="8" t="inlineStr">
        <is>
          <t>기타·행정</t>
        </is>
      </c>
      <c r="J50" s="8" t="inlineStr">
        <is>
          <t>ETC-04 이동·외근</t>
        </is>
      </c>
      <c r="K50" s="8" t="inlineStr">
        <is>
          <t>부산 → 사무실 복귀 이동</t>
        </is>
      </c>
      <c r="L50" s="8" t="n"/>
      <c r="M50" s="8" t="n"/>
      <c r="N50" s="8" t="n"/>
      <c r="O50" s="8" t="n"/>
      <c r="P50" s="8" t="n"/>
      <c r="Q50" s="8" t="inlineStr">
        <is>
          <t>분기/비정기</t>
        </is>
      </c>
      <c r="R50" s="8" t="inlineStr">
        <is>
          <t>정형(매뉴얼화 가능)</t>
        </is>
      </c>
      <c r="S50" s="8" t="inlineStr">
        <is>
          <t>아마도 중복</t>
        </is>
      </c>
      <c r="T50" s="8" t="inlineStr">
        <is>
          <t>인근 대리점 방문 일정 묶어 이동시간 절감</t>
        </is>
      </c>
    </row>
    <row r="51">
      <c r="A51" s="8" t="n"/>
      <c r="B51" s="8" t="n"/>
      <c r="C51" s="8" t="n"/>
      <c r="D51" s="8" t="n"/>
      <c r="E51" s="8" t="n"/>
      <c r="F51" s="8" t="n"/>
      <c r="G51" s="8" t="n"/>
      <c r="H51" s="7">
        <f>IF(OR(F51="",G51=""),"",(G51-F51)*1440)</f>
        <v/>
      </c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7">
        <f>IF(OR(F52="",G52=""),"",(G52-F52)*1440)</f>
        <v/>
      </c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7">
        <f>IF(OR(F53="",G53=""),"",(G53-F53)*1440)</f>
        <v/>
      </c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7">
        <f>IF(OR(F54="",G54=""),"",(G54-F54)*1440)</f>
        <v/>
      </c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7">
        <f>IF(OR(F55="",G55=""),"",(G55-F55)*1440)</f>
        <v/>
      </c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7">
        <f>IF(OR(F56="",G56=""),"",(G56-F56)*1440)</f>
        <v/>
      </c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7">
        <f>IF(OR(F57="",G57=""),"",(G57-F57)*1440)</f>
        <v/>
      </c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7">
        <f>IF(OR(F58="",G58=""),"",(G58-F58)*1440)</f>
        <v/>
      </c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7">
        <f>IF(OR(F59="",G59=""),"",(G59-F59)*1440)</f>
        <v/>
      </c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7">
        <f>IF(OR(F60="",G60=""),"",(G60-F60)*1440)</f>
        <v/>
      </c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7">
        <f>IF(OR(F61="",G61=""),"",(G61-F61)*1440)</f>
        <v/>
      </c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7">
        <f>IF(OR(F62="",G62=""),"",(G62-F62)*1440)</f>
        <v/>
      </c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7">
        <f>IF(OR(F63="",G63=""),"",(G63-F63)*1440)</f>
        <v/>
      </c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7">
        <f>IF(OR(F64="",G64=""),"",(G64-F64)*1440)</f>
        <v/>
      </c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7">
        <f>IF(OR(F65="",G65=""),"",(G65-F65)*1440)</f>
        <v/>
      </c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7">
        <f>IF(OR(F66="",G66=""),"",(G66-F66)*1440)</f>
        <v/>
      </c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7">
        <f>IF(OR(F67="",G67=""),"",(G67-F67)*1440)</f>
        <v/>
      </c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7">
        <f>IF(OR(F68="",G68=""),"",(G68-F68)*1440)</f>
        <v/>
      </c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7">
        <f>IF(OR(F69="",G69=""),"",(G69-F69)*1440)</f>
        <v/>
      </c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7">
        <f>IF(OR(F70="",G70=""),"",(G70-F70)*1440)</f>
        <v/>
      </c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7">
        <f>IF(OR(F71="",G71=""),"",(G71-F71)*1440)</f>
        <v/>
      </c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7">
        <f>IF(OR(F72="",G72=""),"",(G72-F72)*1440)</f>
        <v/>
      </c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7">
        <f>IF(OR(F73="",G73=""),"",(G73-F73)*1440)</f>
        <v/>
      </c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7">
        <f>IF(OR(F74="",G74=""),"",(G74-F74)*1440)</f>
        <v/>
      </c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7">
        <f>IF(OR(F75="",G75=""),"",(G75-F75)*1440)</f>
        <v/>
      </c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7">
        <f>IF(OR(F76="",G76=""),"",(G76-F76)*1440)</f>
        <v/>
      </c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7">
        <f>IF(OR(F77="",G77=""),"",(G77-F77)*1440)</f>
        <v/>
      </c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7">
        <f>IF(OR(F78="",G78=""),"",(G78-F78)*1440)</f>
        <v/>
      </c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7">
        <f>IF(OR(F79="",G79=""),"",(G79-F79)*1440)</f>
        <v/>
      </c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7">
        <f>IF(OR(F80="",G80=""),"",(G80-F80)*1440)</f>
        <v/>
      </c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7">
        <f>IF(OR(F81="",G81=""),"",(G81-F81)*1440)</f>
        <v/>
      </c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7">
        <f>IF(OR(F82="",G82=""),"",(G82-F82)*1440)</f>
        <v/>
      </c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7">
        <f>IF(OR(F83="",G83=""),"",(G83-F83)*1440)</f>
        <v/>
      </c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7">
        <f>IF(OR(F84="",G84=""),"",(G84-F84)*1440)</f>
        <v/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7">
        <f>IF(OR(F85="",G85=""),"",(G85-F85)*1440)</f>
        <v/>
      </c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7">
        <f>IF(OR(F86="",G86=""),"",(G86-F86)*1440)</f>
        <v/>
      </c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7">
        <f>IF(OR(F87="",G87=""),"",(G87-F87)*1440)</f>
        <v/>
      </c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7">
        <f>IF(OR(F88="",G88=""),"",(G88-F88)*1440)</f>
        <v/>
      </c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7">
        <f>IF(OR(F89="",G89=""),"",(G89-F89)*1440)</f>
        <v/>
      </c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7">
        <f>IF(OR(F90="",G90=""),"",(G90-F90)*1440)</f>
        <v/>
      </c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7">
        <f>IF(OR(F91="",G91=""),"",(G91-F91)*1440)</f>
        <v/>
      </c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7">
        <f>IF(OR(F92="",G92=""),"",(G92-F92)*1440)</f>
        <v/>
      </c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7">
        <f>IF(OR(F93="",G93=""),"",(G93-F93)*1440)</f>
        <v/>
      </c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7">
        <f>IF(OR(F94="",G94=""),"",(G94-F94)*1440)</f>
        <v/>
      </c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7">
        <f>IF(OR(F95="",G95=""),"",(G95-F95)*1440)</f>
        <v/>
      </c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7">
        <f>IF(OR(F96="",G96=""),"",(G96-F96)*1440)</f>
        <v/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7">
        <f>IF(OR(F97="",G97=""),"",(G97-F97)*1440)</f>
        <v/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7">
        <f>IF(OR(F98="",G98=""),"",(G98-F98)*1440)</f>
        <v/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7">
        <f>IF(OR(F99="",G99=""),"",(G99-F99)*1440)</f>
        <v/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7">
        <f>IF(OR(F100="",G100=""),"",(G100-F100)*1440)</f>
        <v/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7">
        <f>IF(OR(F101="",G101=""),"",(G101-F101)*1440)</f>
        <v/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7">
        <f>IF(OR(F102="",G102=""),"",(G102-F102)*1440)</f>
        <v/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7">
        <f>IF(OR(F103="",G103=""),"",(G103-F103)*1440)</f>
        <v/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7">
        <f>IF(OR(F104="",G104=""),"",(G104-F104)*1440)</f>
        <v/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7">
        <f>IF(OR(F105="",G105=""),"",(G105-F105)*1440)</f>
        <v/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7">
        <f>IF(OR(F106="",G106=""),"",(G106-F106)*1440)</f>
        <v/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7">
        <f>IF(OR(F107="",G107=""),"",(G107-F107)*1440)</f>
        <v/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7">
        <f>IF(OR(F108="",G108=""),"",(G108-F108)*1440)</f>
        <v/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7">
        <f>IF(OR(F109="",G109=""),"",(G109-F109)*1440)</f>
        <v/>
      </c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7">
        <f>IF(OR(F110="",G110=""),"",(G110-F110)*1440)</f>
        <v/>
      </c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7">
        <f>IF(OR(F111="",G111=""),"",(G111-F111)*1440)</f>
        <v/>
      </c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7">
        <f>IF(OR(F112="",G112=""),"",(G112-F112)*1440)</f>
        <v/>
      </c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7">
        <f>IF(OR(F113="",G113=""),"",(G113-F113)*1440)</f>
        <v/>
      </c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7">
        <f>IF(OR(F114="",G114=""),"",(G114-F114)*1440)</f>
        <v/>
      </c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7">
        <f>IF(OR(F115="",G115=""),"",(G115-F115)*1440)</f>
        <v/>
      </c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7">
        <f>IF(OR(F116="",G116=""),"",(G116-F116)*1440)</f>
        <v/>
      </c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7">
        <f>IF(OR(F117="",G117=""),"",(G117-F117)*1440)</f>
        <v/>
      </c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7">
        <f>IF(OR(F118="",G118=""),"",(G118-F118)*1440)</f>
        <v/>
      </c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7">
        <f>IF(OR(F119="",G119=""),"",(G119-F119)*1440)</f>
        <v/>
      </c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7">
        <f>IF(OR(F120="",G120=""),"",(G120-F120)*1440)</f>
        <v/>
      </c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7">
        <f>IF(OR(F121="",G121=""),"",(G121-F121)*1440)</f>
        <v/>
      </c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7">
        <f>IF(OR(F122="",G122=""),"",(G122-F122)*1440)</f>
        <v/>
      </c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7">
        <f>IF(OR(F123="",G123=""),"",(G123-F123)*1440)</f>
        <v/>
      </c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7">
        <f>IF(OR(F124="",G124=""),"",(G124-F124)*1440)</f>
        <v/>
      </c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7">
        <f>IF(OR(F125="",G125=""),"",(G125-F125)*1440)</f>
        <v/>
      </c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7">
        <f>IF(OR(F126="",G126=""),"",(G126-F126)*1440)</f>
        <v/>
      </c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7">
        <f>IF(OR(F127="",G127=""),"",(G127-F127)*1440)</f>
        <v/>
      </c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7">
        <f>IF(OR(F128="",G128=""),"",(G128-F128)*1440)</f>
        <v/>
      </c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7">
        <f>IF(OR(F129="",G129=""),"",(G129-F129)*1440)</f>
        <v/>
      </c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7">
        <f>IF(OR(F130="",G130=""),"",(G130-F130)*1440)</f>
        <v/>
      </c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7">
        <f>IF(OR(F131="",G131=""),"",(G131-F131)*1440)</f>
        <v/>
      </c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7">
        <f>IF(OR(F132="",G132=""),"",(G132-F132)*1440)</f>
        <v/>
      </c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7">
        <f>IF(OR(F133="",G133=""),"",(G133-F133)*1440)</f>
        <v/>
      </c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7">
        <f>IF(OR(F134="",G134=""),"",(G134-F134)*1440)</f>
        <v/>
      </c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7">
        <f>IF(OR(F135="",G135=""),"",(G135-F135)*1440)</f>
        <v/>
      </c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7">
        <f>IF(OR(F136="",G136=""),"",(G136-F136)*1440)</f>
        <v/>
      </c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7">
        <f>IF(OR(F137="",G137=""),"",(G137-F137)*1440)</f>
        <v/>
      </c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7">
        <f>IF(OR(F138="",G138=""),"",(G138-F138)*1440)</f>
        <v/>
      </c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7">
        <f>IF(OR(F139="",G139=""),"",(G139-F139)*1440)</f>
        <v/>
      </c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7">
        <f>IF(OR(F140="",G140=""),"",(G140-F140)*1440)</f>
        <v/>
      </c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7">
        <f>IF(OR(F141="",G141=""),"",(G141-F141)*1440)</f>
        <v/>
      </c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7">
        <f>IF(OR(F142="",G142=""),"",(G142-F142)*1440)</f>
        <v/>
      </c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7">
        <f>IF(OR(F143="",G143=""),"",(G143-F143)*1440)</f>
        <v/>
      </c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7">
        <f>IF(OR(F144="",G144=""),"",(G144-F144)*1440)</f>
        <v/>
      </c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7">
        <f>IF(OR(F145="",G145=""),"",(G145-F145)*1440)</f>
        <v/>
      </c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7">
        <f>IF(OR(F146="",G146=""),"",(G146-F146)*1440)</f>
        <v/>
      </c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7">
        <f>IF(OR(F147="",G147=""),"",(G147-F147)*1440)</f>
        <v/>
      </c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7">
        <f>IF(OR(F148="",G148=""),"",(G148-F148)*1440)</f>
        <v/>
      </c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7">
        <f>IF(OR(F149="",G149=""),"",(G149-F149)*1440)</f>
        <v/>
      </c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7">
        <f>IF(OR(F150="",G150=""),"",(G150-F150)*1440)</f>
        <v/>
      </c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7">
        <f>IF(OR(F151="",G151=""),"",(G151-F151)*1440)</f>
        <v/>
      </c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7">
        <f>IF(OR(F152="",G152=""),"",(G152-F152)*1440)</f>
        <v/>
      </c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7">
        <f>IF(OR(F153="",G153=""),"",(G153-F153)*1440)</f>
        <v/>
      </c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7">
        <f>IF(OR(F154="",G154=""),"",(G154-F154)*1440)</f>
        <v/>
      </c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7">
        <f>IF(OR(F155="",G155=""),"",(G155-F155)*1440)</f>
        <v/>
      </c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7">
        <f>IF(OR(F156="",G156=""),"",(G156-F156)*1440)</f>
        <v/>
      </c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7">
        <f>IF(OR(F157="",G157=""),"",(G157-F157)*1440)</f>
        <v/>
      </c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7">
        <f>IF(OR(F158="",G158=""),"",(G158-F158)*1440)</f>
        <v/>
      </c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7">
        <f>IF(OR(F159="",G159=""),"",(G159-F159)*1440)</f>
        <v/>
      </c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7">
        <f>IF(OR(F160="",G160=""),"",(G160-F160)*1440)</f>
        <v/>
      </c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7">
        <f>IF(OR(F161="",G161=""),"",(G161-F161)*1440)</f>
        <v/>
      </c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7">
        <f>IF(OR(F162="",G162=""),"",(G162-F162)*1440)</f>
        <v/>
      </c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7">
        <f>IF(OR(F163="",G163=""),"",(G163-F163)*1440)</f>
        <v/>
      </c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7">
        <f>IF(OR(F164="",G164=""),"",(G164-F164)*1440)</f>
        <v/>
      </c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7">
        <f>IF(OR(F165="",G165=""),"",(G165-F165)*1440)</f>
        <v/>
      </c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7">
        <f>IF(OR(F166="",G166=""),"",(G166-F166)*1440)</f>
        <v/>
      </c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7">
        <f>IF(OR(F167="",G167=""),"",(G167-F167)*1440)</f>
        <v/>
      </c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7">
        <f>IF(OR(F168="",G168=""),"",(G168-F168)*1440)</f>
        <v/>
      </c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7">
        <f>IF(OR(F169="",G169=""),"",(G169-F169)*1440)</f>
        <v/>
      </c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7">
        <f>IF(OR(F170="",G170=""),"",(G170-F170)*1440)</f>
        <v/>
      </c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7">
        <f>IF(OR(F171="",G171=""),"",(G171-F171)*1440)</f>
        <v/>
      </c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7">
        <f>IF(OR(F172="",G172=""),"",(G172-F172)*1440)</f>
        <v/>
      </c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7">
        <f>IF(OR(F173="",G173=""),"",(G173-F173)*1440)</f>
        <v/>
      </c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7">
        <f>IF(OR(F174="",G174=""),"",(G174-F174)*1440)</f>
        <v/>
      </c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7">
        <f>IF(OR(F175="",G175=""),"",(G175-F175)*1440)</f>
        <v/>
      </c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7">
        <f>IF(OR(F176="",G176=""),"",(G176-F176)*1440)</f>
        <v/>
      </c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7">
        <f>IF(OR(F177="",G177=""),"",(G177-F177)*1440)</f>
        <v/>
      </c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7">
        <f>IF(OR(F178="",G178=""),"",(G178-F178)*1440)</f>
        <v/>
      </c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7">
        <f>IF(OR(F179="",G179=""),"",(G179-F179)*1440)</f>
        <v/>
      </c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7">
        <f>IF(OR(F180="",G180=""),"",(G180-F180)*1440)</f>
        <v/>
      </c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7">
        <f>IF(OR(F181="",G181=""),"",(G181-F181)*1440)</f>
        <v/>
      </c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7">
        <f>IF(OR(F182="",G182=""),"",(G182-F182)*1440)</f>
        <v/>
      </c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7">
        <f>IF(OR(F183="",G183=""),"",(G183-F183)*1440)</f>
        <v/>
      </c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7">
        <f>IF(OR(F184="",G184=""),"",(G184-F184)*1440)</f>
        <v/>
      </c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7">
        <f>IF(OR(F185="",G185=""),"",(G185-F185)*1440)</f>
        <v/>
      </c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7">
        <f>IF(OR(F186="",G186=""),"",(G186-F186)*1440)</f>
        <v/>
      </c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7">
        <f>IF(OR(F187="",G187=""),"",(G187-F187)*1440)</f>
        <v/>
      </c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7">
        <f>IF(OR(F188="",G188=""),"",(G188-F188)*1440)</f>
        <v/>
      </c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7">
        <f>IF(OR(F189="",G189=""),"",(G189-F189)*1440)</f>
        <v/>
      </c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7">
        <f>IF(OR(F190="",G190=""),"",(G190-F190)*1440)</f>
        <v/>
      </c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7">
        <f>IF(OR(F191="",G191=""),"",(G191-F191)*1440)</f>
        <v/>
      </c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7">
        <f>IF(OR(F192="",G192=""),"",(G192-F192)*1440)</f>
        <v/>
      </c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7">
        <f>IF(OR(F193="",G193=""),"",(G193-F193)*1440)</f>
        <v/>
      </c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7">
        <f>IF(OR(F194="",G194=""),"",(G194-F194)*1440)</f>
        <v/>
      </c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7">
        <f>IF(OR(F195="",G195=""),"",(G195-F195)*1440)</f>
        <v/>
      </c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7">
        <f>IF(OR(F196="",G196=""),"",(G196-F196)*1440)</f>
        <v/>
      </c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7">
        <f>IF(OR(F197="",G197=""),"",(G197-F197)*1440)</f>
        <v/>
      </c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7">
        <f>IF(OR(F198="",G198=""),"",(G198-F198)*1440)</f>
        <v/>
      </c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7">
        <f>IF(OR(F199="",G199=""),"",(G199-F199)*1440)</f>
        <v/>
      </c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7">
        <f>IF(OR(F200="",G200=""),"",(G200-F200)*1440)</f>
        <v/>
      </c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7">
        <f>IF(OR(F201="",G201=""),"",(G201-F201)*1440)</f>
        <v/>
      </c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7">
        <f>IF(OR(F202="",G202=""),"",(G202-F202)*1440)</f>
        <v/>
      </c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7">
        <f>IF(OR(F203="",G203=""),"",(G203-F203)*1440)</f>
        <v/>
      </c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7">
        <f>IF(OR(F204="",G204=""),"",(G204-F204)*1440)</f>
        <v/>
      </c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7">
        <f>IF(OR(F205="",G205=""),"",(G205-F205)*1440)</f>
        <v/>
      </c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7">
        <f>IF(OR(F206="",G206=""),"",(G206-F206)*1440)</f>
        <v/>
      </c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7">
        <f>IF(OR(F207="",G207=""),"",(G207-F207)*1440)</f>
        <v/>
      </c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7">
        <f>IF(OR(F208="",G208=""),"",(G208-F208)*1440)</f>
        <v/>
      </c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7">
        <f>IF(OR(F209="",G209=""),"",(G209-F209)*1440)</f>
        <v/>
      </c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7">
        <f>IF(OR(F210="",G210=""),"",(G210-F210)*1440)</f>
        <v/>
      </c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7">
        <f>IF(OR(F211="",G211=""),"",(G211-F211)*1440)</f>
        <v/>
      </c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7">
        <f>IF(OR(F212="",G212=""),"",(G212-F212)*1440)</f>
        <v/>
      </c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7">
        <f>IF(OR(F213="",G213=""),"",(G213-F213)*1440)</f>
        <v/>
      </c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7">
        <f>IF(OR(F214="",G214=""),"",(G214-F214)*1440)</f>
        <v/>
      </c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7">
        <f>IF(OR(F215="",G215=""),"",(G215-F215)*1440)</f>
        <v/>
      </c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7">
        <f>IF(OR(F216="",G216=""),"",(G216-F216)*1440)</f>
        <v/>
      </c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7">
        <f>IF(OR(F217="",G217=""),"",(G217-F217)*1440)</f>
        <v/>
      </c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7">
        <f>IF(OR(F218="",G218=""),"",(G218-F218)*1440)</f>
        <v/>
      </c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7">
        <f>IF(OR(F219="",G219=""),"",(G219-F219)*1440)</f>
        <v/>
      </c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7">
        <f>IF(OR(F220="",G220=""),"",(G220-F220)*1440)</f>
        <v/>
      </c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7">
        <f>IF(OR(F221="",G221=""),"",(G221-F221)*1440)</f>
        <v/>
      </c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7">
        <f>IF(OR(F222="",G222=""),"",(G222-F222)*1440)</f>
        <v/>
      </c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7">
        <f>IF(OR(F223="",G223=""),"",(G223-F223)*1440)</f>
        <v/>
      </c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7">
        <f>IF(OR(F224="",G224=""),"",(G224-F224)*1440)</f>
        <v/>
      </c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7">
        <f>IF(OR(F225="",G225=""),"",(G225-F225)*1440)</f>
        <v/>
      </c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7">
        <f>IF(OR(F226="",G226=""),"",(G226-F226)*1440)</f>
        <v/>
      </c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7">
        <f>IF(OR(F227="",G227=""),"",(G227-F227)*1440)</f>
        <v/>
      </c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7">
        <f>IF(OR(F228="",G228=""),"",(G228-F228)*1440)</f>
        <v/>
      </c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7">
        <f>IF(OR(F229="",G229=""),"",(G229-F229)*1440)</f>
        <v/>
      </c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7">
        <f>IF(OR(F230="",G230=""),"",(G230-F230)*1440)</f>
        <v/>
      </c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7">
        <f>IF(OR(F231="",G231=""),"",(G231-F231)*1440)</f>
        <v/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7">
        <f>IF(OR(F232="",G232=""),"",(G232-F232)*1440)</f>
        <v/>
      </c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7">
        <f>IF(OR(F233="",G233=""),"",(G233-F233)*1440)</f>
        <v/>
      </c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7">
        <f>IF(OR(F234="",G234=""),"",(G234-F234)*1440)</f>
        <v/>
      </c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7">
        <f>IF(OR(F235="",G235=""),"",(G235-F235)*1440)</f>
        <v/>
      </c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7">
        <f>IF(OR(F236="",G236=""),"",(G236-F236)*1440)</f>
        <v/>
      </c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7">
        <f>IF(OR(F237="",G237=""),"",(G237-F237)*1440)</f>
        <v/>
      </c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7">
        <f>IF(OR(F238="",G238=""),"",(G238-F238)*1440)</f>
        <v/>
      </c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7">
        <f>IF(OR(F239="",G239=""),"",(G239-F239)*1440)</f>
        <v/>
      </c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7">
        <f>IF(OR(F240="",G240=""),"",(G240-F240)*1440)</f>
        <v/>
      </c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7">
        <f>IF(OR(F241="",G241=""),"",(G241-F241)*1440)</f>
        <v/>
      </c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7">
        <f>IF(OR(F242="",G242=""),"",(G242-F242)*1440)</f>
        <v/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7">
        <f>IF(OR(F243="",G243=""),"",(G243-F243)*1440)</f>
        <v/>
      </c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7">
        <f>IF(OR(F244="",G244=""),"",(G244-F244)*1440)</f>
        <v/>
      </c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7">
        <f>IF(OR(F245="",G245=""),"",(G245-F245)*1440)</f>
        <v/>
      </c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7">
        <f>IF(OR(F246="",G246=""),"",(G246-F246)*1440)</f>
        <v/>
      </c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7">
        <f>IF(OR(F247="",G247=""),"",(G247-F247)*1440)</f>
        <v/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7">
        <f>IF(OR(F248="",G248=""),"",(G248-F248)*1440)</f>
        <v/>
      </c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7">
        <f>IF(OR(F249="",G249=""),"",(G249-F249)*1440)</f>
        <v/>
      </c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7">
        <f>IF(OR(F250="",G250=""),"",(G250-F250)*1440)</f>
        <v/>
      </c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7">
        <f>IF(OR(F251="",G251=""),"",(G251-F251)*1440)</f>
        <v/>
      </c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7">
        <f>IF(OR(F252="",G252=""),"",(G252-F252)*1440)</f>
        <v/>
      </c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7">
        <f>IF(OR(F253="",G253=""),"",(G253-F253)*1440)</f>
        <v/>
      </c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7">
        <f>IF(OR(F254="",G254=""),"",(G254-F254)*1440)</f>
        <v/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7">
        <f>IF(OR(F255="",G255=""),"",(G255-F255)*1440)</f>
        <v/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7">
        <f>IF(OR(F256="",G256=""),"",(G256-F256)*1440)</f>
        <v/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7">
        <f>IF(OR(F257="",G257=""),"",(G257-F257)*1440)</f>
        <v/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7">
        <f>IF(OR(F258="",G258=""),"",(G258-F258)*1440)</f>
        <v/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7">
        <f>IF(OR(F259="",G259=""),"",(G259-F259)*1440)</f>
        <v/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7">
        <f>IF(OR(F260="",G260=""),"",(G260-F260)*1440)</f>
        <v/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7">
        <f>IF(OR(F261="",G261=""),"",(G261-F261)*1440)</f>
        <v/>
      </c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7">
        <f>IF(OR(F262="",G262=""),"",(G262-F262)*1440)</f>
        <v/>
      </c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7">
        <f>IF(OR(F263="",G263=""),"",(G263-F263)*1440)</f>
        <v/>
      </c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7">
        <f>IF(OR(F264="",G264=""),"",(G264-F264)*1440)</f>
        <v/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7">
        <f>IF(OR(F265="",G265=""),"",(G265-F265)*1440)</f>
        <v/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7">
        <f>IF(OR(F266="",G266=""),"",(G266-F266)*1440)</f>
        <v/>
      </c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7">
        <f>IF(OR(F267="",G267=""),"",(G267-F267)*1440)</f>
        <v/>
      </c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7">
        <f>IF(OR(F268="",G268=""),"",(G268-F268)*1440)</f>
        <v/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7">
        <f>IF(OR(F269="",G269=""),"",(G269-F269)*1440)</f>
        <v/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7">
        <f>IF(OR(F270="",G270=""),"",(G270-F270)*1440)</f>
        <v/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7">
        <f>IF(OR(F271="",G271=""),"",(G271-F271)*1440)</f>
        <v/>
      </c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7">
        <f>IF(OR(F272="",G272=""),"",(G272-F272)*1440)</f>
        <v/>
      </c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7">
        <f>IF(OR(F273="",G273=""),"",(G273-F273)*1440)</f>
        <v/>
      </c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7">
        <f>IF(OR(F274="",G274=""),"",(G274-F274)*1440)</f>
        <v/>
      </c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7">
        <f>IF(OR(F275="",G275=""),"",(G275-F275)*1440)</f>
        <v/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7">
        <f>IF(OR(F276="",G276=""),"",(G276-F276)*1440)</f>
        <v/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7">
        <f>IF(OR(F277="",G277=""),"",(G277-F277)*1440)</f>
        <v/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7">
        <f>IF(OR(F278="",G278=""),"",(G278-F278)*1440)</f>
        <v/>
      </c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7">
        <f>IF(OR(F279="",G279=""),"",(G279-F279)*1440)</f>
        <v/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7">
        <f>IF(OR(F280="",G280=""),"",(G280-F280)*1440)</f>
        <v/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7">
        <f>IF(OR(F281="",G281=""),"",(G281-F281)*1440)</f>
        <v/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7">
        <f>IF(OR(F282="",G282=""),"",(G282-F282)*1440)</f>
        <v/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7">
        <f>IF(OR(F283="",G283=""),"",(G283-F283)*1440)</f>
        <v/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7">
        <f>IF(OR(F284="",G284=""),"",(G284-F284)*1440)</f>
        <v/>
      </c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7">
        <f>IF(OR(F285="",G285=""),"",(G285-F285)*1440)</f>
        <v/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7">
        <f>IF(OR(F286="",G286=""),"",(G286-F286)*1440)</f>
        <v/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7">
        <f>IF(OR(F287="",G287=""),"",(G287-F287)*1440)</f>
        <v/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7">
        <f>IF(OR(F288="",G288=""),"",(G288-F288)*1440)</f>
        <v/>
      </c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7">
        <f>IF(OR(F289="",G289=""),"",(G289-F289)*1440)</f>
        <v/>
      </c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7">
        <f>IF(OR(F290="",G290=""),"",(G290-F290)*1440)</f>
        <v/>
      </c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7">
        <f>IF(OR(F291="",G291=""),"",(G291-F291)*1440)</f>
        <v/>
      </c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7">
        <f>IF(OR(F292="",G292=""),"",(G292-F292)*1440)</f>
        <v/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7">
        <f>IF(OR(F293="",G293=""),"",(G293-F293)*1440)</f>
        <v/>
      </c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7">
        <f>IF(OR(F294="",G294=""),"",(G294-F294)*1440)</f>
        <v/>
      </c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7">
        <f>IF(OR(F295="",G295=""),"",(G295-F295)*1440)</f>
        <v/>
      </c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7">
        <f>IF(OR(F296="",G296=""),"",(G296-F296)*1440)</f>
        <v/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7">
        <f>IF(OR(F297="",G297=""),"",(G297-F297)*1440)</f>
        <v/>
      </c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7">
        <f>IF(OR(F298="",G298=""),"",(G298-F298)*1440)</f>
        <v/>
      </c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7">
        <f>IF(OR(F299="",G299=""),"",(G299-F299)*1440)</f>
        <v/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7">
        <f>IF(OR(F300="",G300=""),"",(G300-F300)*1440)</f>
        <v/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7">
        <f>IF(OR(F301="",G301=""),"",(G301-F301)*1440)</f>
        <v/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7">
        <f>IF(OR(F302="",G302=""),"",(G302-F302)*1440)</f>
        <v/>
      </c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7">
        <f>IF(OR(F303="",G303=""),"",(G303-F303)*1440)</f>
        <v/>
      </c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7">
        <f>IF(OR(F304="",G304=""),"",(G304-F304)*1440)</f>
        <v/>
      </c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7">
        <f>IF(OR(F305="",G305=""),"",(G305-F305)*1440)</f>
        <v/>
      </c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7">
        <f>IF(OR(F306="",G306=""),"",(G306-F306)*1440)</f>
        <v/>
      </c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7">
        <f>IF(OR(F307="",G307=""),"",(G307-F307)*1440)</f>
        <v/>
      </c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7">
        <f>IF(OR(F308="",G308=""),"",(G308-F308)*1440)</f>
        <v/>
      </c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7">
        <f>IF(OR(F309="",G309=""),"",(G309-F309)*1440)</f>
        <v/>
      </c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7">
        <f>IF(OR(F310="",G310=""),"",(G310-F310)*1440)</f>
        <v/>
      </c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7">
        <f>IF(OR(F311="",G311=""),"",(G311-F311)*1440)</f>
        <v/>
      </c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7">
        <f>IF(OR(F312="",G312=""),"",(G312-F312)*1440)</f>
        <v/>
      </c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7">
        <f>IF(OR(F313="",G313=""),"",(G313-F313)*1440)</f>
        <v/>
      </c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7">
        <f>IF(OR(F314="",G314=""),"",(G314-F314)*1440)</f>
        <v/>
      </c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7">
        <f>IF(OR(F315="",G315=""),"",(G315-F315)*1440)</f>
        <v/>
      </c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7">
        <f>IF(OR(F316="",G316=""),"",(G316-F316)*1440)</f>
        <v/>
      </c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7">
        <f>IF(OR(F317="",G317=""),"",(G317-F317)*1440)</f>
        <v/>
      </c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7">
        <f>IF(OR(F318="",G318=""),"",(G318-F318)*1440)</f>
        <v/>
      </c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7">
        <f>IF(OR(F319="",G319=""),"",(G319-F319)*1440)</f>
        <v/>
      </c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7">
        <f>IF(OR(F320="",G320=""),"",(G320-F320)*1440)</f>
        <v/>
      </c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7">
        <f>IF(OR(F321="",G321=""),"",(G321-F321)*1440)</f>
        <v/>
      </c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7">
        <f>IF(OR(F322="",G322=""),"",(G322-F322)*1440)</f>
        <v/>
      </c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7">
        <f>IF(OR(F323="",G323=""),"",(G323-F323)*1440)</f>
        <v/>
      </c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7">
        <f>IF(OR(F324="",G324=""),"",(G324-F324)*1440)</f>
        <v/>
      </c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7">
        <f>IF(OR(F325="",G325=""),"",(G325-F325)*1440)</f>
        <v/>
      </c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7">
        <f>IF(OR(F326="",G326=""),"",(G326-F326)*1440)</f>
        <v/>
      </c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7">
        <f>IF(OR(F327="",G327=""),"",(G327-F327)*1440)</f>
        <v/>
      </c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7">
        <f>IF(OR(F328="",G328=""),"",(G328-F328)*1440)</f>
        <v/>
      </c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7">
        <f>IF(OR(F329="",G329=""),"",(G329-F329)*1440)</f>
        <v/>
      </c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7">
        <f>IF(OR(F330="",G330=""),"",(G330-F330)*1440)</f>
        <v/>
      </c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7">
        <f>IF(OR(F331="",G331=""),"",(G331-F331)*1440)</f>
        <v/>
      </c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7">
        <f>IF(OR(F332="",G332=""),"",(G332-F332)*1440)</f>
        <v/>
      </c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7">
        <f>IF(OR(F333="",G333=""),"",(G333-F333)*1440)</f>
        <v/>
      </c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7">
        <f>IF(OR(F334="",G334=""),"",(G334-F334)*1440)</f>
        <v/>
      </c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7">
        <f>IF(OR(F335="",G335=""),"",(G335-F335)*1440)</f>
        <v/>
      </c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7">
        <f>IF(OR(F336="",G336=""),"",(G336-F336)*1440)</f>
        <v/>
      </c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7">
        <f>IF(OR(F337="",G337=""),"",(G337-F337)*1440)</f>
        <v/>
      </c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7">
        <f>IF(OR(F338="",G338=""),"",(G338-F338)*1440)</f>
        <v/>
      </c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7">
        <f>IF(OR(F339="",G339=""),"",(G339-F339)*1440)</f>
        <v/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7">
        <f>IF(OR(F340="",G340=""),"",(G340-F340)*1440)</f>
        <v/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7">
        <f>IF(OR(F341="",G341=""),"",(G341-F341)*1440)</f>
        <v/>
      </c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7">
        <f>IF(OR(F342="",G342=""),"",(G342-F342)*1440)</f>
        <v/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7">
        <f>IF(OR(F343="",G343=""),"",(G343-F343)*1440)</f>
        <v/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7">
        <f>IF(OR(F344="",G344=""),"",(G344-F344)*1440)</f>
        <v/>
      </c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7">
        <f>IF(OR(F345="",G345=""),"",(G345-F345)*1440)</f>
        <v/>
      </c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7">
        <f>IF(OR(F346="",G346=""),"",(G346-F346)*1440)</f>
        <v/>
      </c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7">
        <f>IF(OR(F347="",G347=""),"",(G347-F347)*1440)</f>
        <v/>
      </c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7">
        <f>IF(OR(F348="",G348=""),"",(G348-F348)*1440)</f>
        <v/>
      </c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7">
        <f>IF(OR(F349="",G349=""),"",(G349-F349)*1440)</f>
        <v/>
      </c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7">
        <f>IF(OR(F350="",G350=""),"",(G350-F350)*1440)</f>
        <v/>
      </c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7">
        <f>IF(OR(F351="",G351=""),"",(G351-F351)*1440)</f>
        <v/>
      </c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7">
        <f>IF(OR(F352="",G352=""),"",(G352-F352)*1440)</f>
        <v/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7">
        <f>IF(OR(F353="",G353=""),"",(G353-F353)*1440)</f>
        <v/>
      </c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7">
        <f>IF(OR(F354="",G354=""),"",(G354-F354)*1440)</f>
        <v/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7">
        <f>IF(OR(F355="",G355=""),"",(G355-F355)*1440)</f>
        <v/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7">
        <f>IF(OR(F356="",G356=""),"",(G356-F356)*1440)</f>
        <v/>
      </c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7">
        <f>IF(OR(F357="",G357=""),"",(G357-F357)*1440)</f>
        <v/>
      </c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7">
        <f>IF(OR(F358="",G358=""),"",(G358-F358)*1440)</f>
        <v/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7">
        <f>IF(OR(F359="",G359=""),"",(G359-F359)*1440)</f>
        <v/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7">
        <f>IF(OR(F360="",G360=""),"",(G360-F360)*1440)</f>
        <v/>
      </c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7">
        <f>IF(OR(F361="",G361=""),"",(G361-F361)*1440)</f>
        <v/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7">
        <f>IF(OR(F362="",G362=""),"",(G362-F362)*1440)</f>
        <v/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7">
        <f>IF(OR(F363="",G363=""),"",(G363-F363)*1440)</f>
        <v/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7">
        <f>IF(OR(F364="",G364=""),"",(G364-F364)*1440)</f>
        <v/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7">
        <f>IF(OR(F365="",G365=""),"",(G365-F365)*1440)</f>
        <v/>
      </c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7">
        <f>IF(OR(F366="",G366=""),"",(G366-F366)*1440)</f>
        <v/>
      </c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7">
        <f>IF(OR(F367="",G367=""),"",(G367-F367)*1440)</f>
        <v/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7">
        <f>IF(OR(F368="",G368=""),"",(G368-F368)*1440)</f>
        <v/>
      </c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7">
        <f>IF(OR(F369="",G369=""),"",(G369-F369)*1440)</f>
        <v/>
      </c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7">
        <f>IF(OR(F370="",G370=""),"",(G370-F370)*1440)</f>
        <v/>
      </c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7">
        <f>IF(OR(F371="",G371=""),"",(G371-F371)*1440)</f>
        <v/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7">
        <f>IF(OR(F372="",G372=""),"",(G372-F372)*1440)</f>
        <v/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7">
        <f>IF(OR(F373="",G373=""),"",(G373-F373)*1440)</f>
        <v/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7">
        <f>IF(OR(F374="",G374=""),"",(G374-F374)*1440)</f>
        <v/>
      </c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7">
        <f>IF(OR(F375="",G375=""),"",(G375-F375)*1440)</f>
        <v/>
      </c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7">
        <f>IF(OR(F376="",G376=""),"",(G376-F376)*1440)</f>
        <v/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7">
        <f>IF(OR(F377="",G377=""),"",(G377-F377)*1440)</f>
        <v/>
      </c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7">
        <f>IF(OR(F378="",G378=""),"",(G378-F378)*1440)</f>
        <v/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7">
        <f>IF(OR(F379="",G379=""),"",(G379-F379)*1440)</f>
        <v/>
      </c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7">
        <f>IF(OR(F380="",G380=""),"",(G380-F380)*1440)</f>
        <v/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7">
        <f>IF(OR(F381="",G381=""),"",(G381-F381)*1440)</f>
        <v/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7">
        <f>IF(OR(F382="",G382=""),"",(G382-F382)*1440)</f>
        <v/>
      </c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7">
        <f>IF(OR(F383="",G383=""),"",(G383-F383)*1440)</f>
        <v/>
      </c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7">
        <f>IF(OR(F384="",G384=""),"",(G384-F384)*1440)</f>
        <v/>
      </c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7">
        <f>IF(OR(F385="",G385=""),"",(G385-F385)*1440)</f>
        <v/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7">
        <f>IF(OR(F386="",G386=""),"",(G386-F386)*1440)</f>
        <v/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7">
        <f>IF(OR(F387="",G387=""),"",(G387-F387)*1440)</f>
        <v/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7">
        <f>IF(OR(F388="",G388=""),"",(G388-F388)*1440)</f>
        <v/>
      </c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7">
        <f>IF(OR(F389="",G389=""),"",(G389-F389)*1440)</f>
        <v/>
      </c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7">
        <f>IF(OR(F390="",G390=""),"",(G390-F390)*1440)</f>
        <v/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7">
        <f>IF(OR(F391="",G391=""),"",(G391-F391)*1440)</f>
        <v/>
      </c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7">
        <f>IF(OR(F392="",G392=""),"",(G392-F392)*1440)</f>
        <v/>
      </c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7">
        <f>IF(OR(F393="",G393=""),"",(G393-F393)*1440)</f>
        <v/>
      </c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7">
        <f>IF(OR(F394="",G394=""),"",(G394-F394)*1440)</f>
        <v/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7">
        <f>IF(OR(F395="",G395=""),"",(G395-F395)*1440)</f>
        <v/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7">
        <f>IF(OR(F396="",G396=""),"",(G396-F396)*1440)</f>
        <v/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7">
        <f>IF(OR(F397="",G397=""),"",(G397-F397)*1440)</f>
        <v/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7">
        <f>IF(OR(F398="",G398=""),"",(G398-F398)*1440)</f>
        <v/>
      </c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7">
        <f>IF(OR(F399="",G399=""),"",(G399-F399)*1440)</f>
        <v/>
      </c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7">
        <f>IF(OR(F400="",G400=""),"",(G400-F400)*1440)</f>
        <v/>
      </c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7">
        <f>IF(OR(F401="",G401=""),"",(G401-F401)*1440)</f>
        <v/>
      </c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7">
        <f>IF(OR(F402="",G402=""),"",(G402-F402)*1440)</f>
        <v/>
      </c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7">
        <f>IF(OR(F403="",G403=""),"",(G403-F403)*1440)</f>
        <v/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7">
        <f>IF(OR(F404="",G404=""),"",(G404-F404)*1440)</f>
        <v/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7">
        <f>IF(OR(F405="",G405=""),"",(G405-F405)*1440)</f>
        <v/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7">
        <f>IF(OR(F406="",G406=""),"",(G406-F406)*1440)</f>
        <v/>
      </c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7">
        <f>IF(OR(F407="",G407=""),"",(G407-F407)*1440)</f>
        <v/>
      </c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7">
        <f>IF(OR(F408="",G408=""),"",(G408-F408)*1440)</f>
        <v/>
      </c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7">
        <f>IF(OR(F409="",G409=""),"",(G409-F409)*1440)</f>
        <v/>
      </c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7">
        <f>IF(OR(F410="",G410=""),"",(G410-F410)*1440)</f>
        <v/>
      </c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7">
        <f>IF(OR(F411="",G411=""),"",(G411-F411)*1440)</f>
        <v/>
      </c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7">
        <f>IF(OR(F412="",G412=""),"",(G412-F412)*1440)</f>
        <v/>
      </c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7">
        <f>IF(OR(F413="",G413=""),"",(G413-F413)*1440)</f>
        <v/>
      </c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7">
        <f>IF(OR(F414="",G414=""),"",(G414-F414)*1440)</f>
        <v/>
      </c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7">
        <f>IF(OR(F415="",G415=""),"",(G415-F415)*1440)</f>
        <v/>
      </c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7">
        <f>IF(OR(F416="",G416=""),"",(G416-F416)*1440)</f>
        <v/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7">
        <f>IF(OR(F417="",G417=""),"",(G417-F417)*1440)</f>
        <v/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7">
        <f>IF(OR(F418="",G418=""),"",(G418-F418)*1440)</f>
        <v/>
      </c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7">
        <f>IF(OR(F419="",G419=""),"",(G419-F419)*1440)</f>
        <v/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7">
        <f>IF(OR(F420="",G420=""),"",(G420-F420)*1440)</f>
        <v/>
      </c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7">
        <f>IF(OR(F421="",G421=""),"",(G421-F421)*1440)</f>
        <v/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7">
        <f>IF(OR(F422="",G422=""),"",(G422-F422)*1440)</f>
        <v/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7">
        <f>IF(OR(F423="",G423=""),"",(G423-F423)*1440)</f>
        <v/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7">
        <f>IF(OR(F424="",G424=""),"",(G424-F424)*1440)</f>
        <v/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7">
        <f>IF(OR(F425="",G425=""),"",(G425-F425)*1440)</f>
        <v/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7">
        <f>IF(OR(F426="",G426=""),"",(G426-F426)*1440)</f>
        <v/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7">
        <f>IF(OR(F427="",G427=""),"",(G427-F427)*1440)</f>
        <v/>
      </c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7">
        <f>IF(OR(F428="",G428=""),"",(G428-F428)*1440)</f>
        <v/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7">
        <f>IF(OR(F429="",G429=""),"",(G429-F429)*1440)</f>
        <v/>
      </c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7">
        <f>IF(OR(F430="",G430=""),"",(G430-F430)*1440)</f>
        <v/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7">
        <f>IF(OR(F431="",G431=""),"",(G431-F431)*1440)</f>
        <v/>
      </c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7">
        <f>IF(OR(F432="",G432=""),"",(G432-F432)*1440)</f>
        <v/>
      </c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7">
        <f>IF(OR(F433="",G433=""),"",(G433-F433)*1440)</f>
        <v/>
      </c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7">
        <f>IF(OR(F434="",G434=""),"",(G434-F434)*1440)</f>
        <v/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7">
        <f>IF(OR(F435="",G435=""),"",(G435-F435)*1440)</f>
        <v/>
      </c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7">
        <f>IF(OR(F436="",G436=""),"",(G436-F436)*1440)</f>
        <v/>
      </c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7">
        <f>IF(OR(F437="",G437=""),"",(G437-F437)*1440)</f>
        <v/>
      </c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7">
        <f>IF(OR(F438="",G438=""),"",(G438-F438)*1440)</f>
        <v/>
      </c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7">
        <f>IF(OR(F439="",G439=""),"",(G439-F439)*1440)</f>
        <v/>
      </c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7">
        <f>IF(OR(F440="",G440=""),"",(G440-F440)*1440)</f>
        <v/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7">
        <f>IF(OR(F441="",G441=""),"",(G441-F441)*1440)</f>
        <v/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7">
        <f>IF(OR(F442="",G442=""),"",(G442-F442)*1440)</f>
        <v/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7">
        <f>IF(OR(F443="",G443=""),"",(G443-F443)*1440)</f>
        <v/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7">
        <f>IF(OR(F444="",G444=""),"",(G444-F444)*1440)</f>
        <v/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7">
        <f>IF(OR(F445="",G445=""),"",(G445-F445)*1440)</f>
        <v/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7">
        <f>IF(OR(F446="",G446=""),"",(G446-F446)*1440)</f>
        <v/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7">
        <f>IF(OR(F447="",G447=""),"",(G447-F447)*1440)</f>
        <v/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7">
        <f>IF(OR(F448="",G448=""),"",(G448-F448)*1440)</f>
        <v/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7">
        <f>IF(OR(F449="",G449=""),"",(G449-F449)*1440)</f>
        <v/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7">
        <f>IF(OR(F450="",G450=""),"",(G450-F450)*1440)</f>
        <v/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7">
        <f>IF(OR(F451="",G451=""),"",(G451-F451)*1440)</f>
        <v/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7">
        <f>IF(OR(F452="",G452=""),"",(G452-F452)*1440)</f>
        <v/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7">
        <f>IF(OR(F453="",G453=""),"",(G453-F453)*1440)</f>
        <v/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7">
        <f>IF(OR(F454="",G454=""),"",(G454-F454)*1440)</f>
        <v/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7">
        <f>IF(OR(F455="",G455=""),"",(G455-F455)*1440)</f>
        <v/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7">
        <f>IF(OR(F456="",G456=""),"",(G456-F456)*1440)</f>
        <v/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7">
        <f>IF(OR(F457="",G457=""),"",(G457-F457)*1440)</f>
        <v/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7">
        <f>IF(OR(F458="",G458=""),"",(G458-F458)*1440)</f>
        <v/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7">
        <f>IF(OR(F459="",G459=""),"",(G459-F459)*1440)</f>
        <v/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7">
        <f>IF(OR(F460="",G460=""),"",(G460-F460)*1440)</f>
        <v/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7">
        <f>IF(OR(F461="",G461=""),"",(G461-F461)*1440)</f>
        <v/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7">
        <f>IF(OR(F462="",G462=""),"",(G462-F462)*1440)</f>
        <v/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7">
        <f>IF(OR(F463="",G463=""),"",(G463-F463)*1440)</f>
        <v/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7">
        <f>IF(OR(F464="",G464=""),"",(G464-F464)*1440)</f>
        <v/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7">
        <f>IF(OR(F465="",G465=""),"",(G465-F465)*1440)</f>
        <v/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7">
        <f>IF(OR(F466="",G466=""),"",(G466-F466)*1440)</f>
        <v/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7">
        <f>IF(OR(F467="",G467=""),"",(G467-F467)*1440)</f>
        <v/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7">
        <f>IF(OR(F468="",G468=""),"",(G468-F468)*1440)</f>
        <v/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7">
        <f>IF(OR(F469="",G469=""),"",(G469-F469)*1440)</f>
        <v/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7">
        <f>IF(OR(F470="",G470=""),"",(G470-F470)*1440)</f>
        <v/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7">
        <f>IF(OR(F471="",G471=""),"",(G471-F471)*1440)</f>
        <v/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7">
        <f>IF(OR(F472="",G472=""),"",(G472-F472)*1440)</f>
        <v/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7">
        <f>IF(OR(F473="",G473=""),"",(G473-F473)*1440)</f>
        <v/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7">
        <f>IF(OR(F474="",G474=""),"",(G474-F474)*1440)</f>
        <v/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7">
        <f>IF(OR(F475="",G475=""),"",(G475-F475)*1440)</f>
        <v/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7">
        <f>IF(OR(F476="",G476=""),"",(G476-F476)*1440)</f>
        <v/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7">
        <f>IF(OR(F477="",G477=""),"",(G477-F477)*1440)</f>
        <v/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7">
        <f>IF(OR(F478="",G478=""),"",(G478-F478)*1440)</f>
        <v/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7">
        <f>IF(OR(F479="",G479=""),"",(G479-F479)*1440)</f>
        <v/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7">
        <f>IF(OR(F480="",G480=""),"",(G480-F480)*1440)</f>
        <v/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7">
        <f>IF(OR(F481="",G481=""),"",(G481-F481)*1440)</f>
        <v/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7">
        <f>IF(OR(F482="",G482=""),"",(G482-F482)*1440)</f>
        <v/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7">
        <f>IF(OR(F483="",G483=""),"",(G483-F483)*1440)</f>
        <v/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7">
        <f>IF(OR(F484="",G484=""),"",(G484-F484)*1440)</f>
        <v/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7">
        <f>IF(OR(F485="",G485=""),"",(G485-F485)*1440)</f>
        <v/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7">
        <f>IF(OR(F486="",G486=""),"",(G486-F486)*1440)</f>
        <v/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7">
        <f>IF(OR(F487="",G487=""),"",(G487-F487)*1440)</f>
        <v/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7">
        <f>IF(OR(F488="",G488=""),"",(G488-F488)*1440)</f>
        <v/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7">
        <f>IF(OR(F489="",G489=""),"",(G489-F489)*1440)</f>
        <v/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7">
        <f>IF(OR(F490="",G490=""),"",(G490-F490)*1440)</f>
        <v/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7">
        <f>IF(OR(F491="",G491=""),"",(G491-F491)*1440)</f>
        <v/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7">
        <f>IF(OR(F492="",G492=""),"",(G492-F492)*1440)</f>
        <v/>
      </c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7">
        <f>IF(OR(F493="",G493=""),"",(G493-F493)*1440)</f>
        <v/>
      </c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7">
        <f>IF(OR(F494="",G494=""),"",(G494-F494)*1440)</f>
        <v/>
      </c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7">
        <f>IF(OR(F495="",G495=""),"",(G495-F495)*1440)</f>
        <v/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7">
        <f>IF(OR(F496="",G496=""),"",(G496-F496)*1440)</f>
        <v/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7">
        <f>IF(OR(F497="",G497=""),"",(G497-F497)*1440)</f>
        <v/>
      </c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7">
        <f>IF(OR(F498="",G498=""),"",(G498-F498)*1440)</f>
        <v/>
      </c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7">
        <f>IF(OR(F499="",G499=""),"",(G499-F499)*1440)</f>
        <v/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7">
        <f>IF(OR(F500="",G500=""),"",(G500-F500)*1440)</f>
        <v/>
      </c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7">
        <f>IF(OR(F501="",G501=""),"",(G501-F501)*1440)</f>
        <v/>
      </c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7">
        <f>IF(OR(F502="",G502=""),"",(G502-F502)*1440)</f>
        <v/>
      </c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7">
        <f>IF(OR(F503="",G503=""),"",(G503-F503)*1440)</f>
        <v/>
      </c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7">
        <f>IF(OR(F504="",G504=""),"",(G504-F504)*1440)</f>
        <v/>
      </c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7">
        <f>IF(OR(F505="",G505=""),"",(G505-F505)*1440)</f>
        <v/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7">
        <f>IF(OR(F506="",G506=""),"",(G506-F506)*1440)</f>
        <v/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7">
        <f>IF(OR(F507="",G507=""),"",(G507-F507)*1440)</f>
        <v/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7">
        <f>IF(OR(F508="",G508=""),"",(G508-F508)*1440)</f>
        <v/>
      </c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7">
        <f>IF(OR(F509="",G509=""),"",(G509-F509)*1440)</f>
        <v/>
      </c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7">
        <f>IF(OR(F510="",G510=""),"",(G510-F510)*1440)</f>
        <v/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7">
        <f>IF(OR(F511="",G511=""),"",(G511-F511)*1440)</f>
        <v/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7">
        <f>IF(OR(F512="",G512=""),"",(G512-F512)*1440)</f>
        <v/>
      </c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7">
        <f>IF(OR(F513="",G513=""),"",(G513-F513)*1440)</f>
        <v/>
      </c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7">
        <f>IF(OR(F514="",G514=""),"",(G514-F514)*1440)</f>
        <v/>
      </c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7">
        <f>IF(OR(F515="",G515=""),"",(G515-F515)*1440)</f>
        <v/>
      </c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7">
        <f>IF(OR(F516="",G516=""),"",(G516-F516)*1440)</f>
        <v/>
      </c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7">
        <f>IF(OR(F517="",G517=""),"",(G517-F517)*1440)</f>
        <v/>
      </c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7">
        <f>IF(OR(F518="",G518=""),"",(G518-F518)*1440)</f>
        <v/>
      </c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7">
        <f>IF(OR(F519="",G519=""),"",(G519-F519)*1440)</f>
        <v/>
      </c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7">
        <f>IF(OR(F520="",G520=""),"",(G520-F520)*1440)</f>
        <v/>
      </c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7">
        <f>IF(OR(F521="",G521=""),"",(G521-F521)*1440)</f>
        <v/>
      </c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7">
        <f>IF(OR(F522="",G522=""),"",(G522-F522)*1440)</f>
        <v/>
      </c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7">
        <f>IF(OR(F523="",G523=""),"",(G523-F523)*1440)</f>
        <v/>
      </c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7">
        <f>IF(OR(F524="",G524=""),"",(G524-F524)*1440)</f>
        <v/>
      </c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7">
        <f>IF(OR(F525="",G525=""),"",(G525-F525)*1440)</f>
        <v/>
      </c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7">
        <f>IF(OR(F526="",G526=""),"",(G526-F526)*1440)</f>
        <v/>
      </c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7">
        <f>IF(OR(F527="",G527=""),"",(G527-F527)*1440)</f>
        <v/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7">
        <f>IF(OR(F528="",G528=""),"",(G528-F528)*1440)</f>
        <v/>
      </c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7">
        <f>IF(OR(F529="",G529=""),"",(G529-F529)*1440)</f>
        <v/>
      </c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7">
        <f>IF(OR(F530="",G530=""),"",(G530-F530)*1440)</f>
        <v/>
      </c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7">
        <f>IF(OR(F531="",G531=""),"",(G531-F531)*1440)</f>
        <v/>
      </c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7">
        <f>IF(OR(F532="",G532=""),"",(G532-F532)*1440)</f>
        <v/>
      </c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7">
        <f>IF(OR(F533="",G533=""),"",(G533-F533)*1440)</f>
        <v/>
      </c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7">
        <f>IF(OR(F534="",G534=""),"",(G534-F534)*1440)</f>
        <v/>
      </c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7">
        <f>IF(OR(F535="",G535=""),"",(G535-F535)*1440)</f>
        <v/>
      </c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7">
        <f>IF(OR(F536="",G536=""),"",(G536-F536)*1440)</f>
        <v/>
      </c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7">
        <f>IF(OR(F537="",G537=""),"",(G537-F537)*1440)</f>
        <v/>
      </c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7">
        <f>IF(OR(F538="",G538=""),"",(G538-F538)*1440)</f>
        <v/>
      </c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7">
        <f>IF(OR(F539="",G539=""),"",(G539-F539)*1440)</f>
        <v/>
      </c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7">
        <f>IF(OR(F540="",G540=""),"",(G540-F540)*1440)</f>
        <v/>
      </c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7">
        <f>IF(OR(F541="",G541=""),"",(G541-F541)*1440)</f>
        <v/>
      </c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7">
        <f>IF(OR(F542="",G542=""),"",(G542-F542)*1440)</f>
        <v/>
      </c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7">
        <f>IF(OR(F543="",G543=""),"",(G543-F543)*1440)</f>
        <v/>
      </c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7">
        <f>IF(OR(F544="",G544=""),"",(G544-F544)*1440)</f>
        <v/>
      </c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7">
        <f>IF(OR(F545="",G545=""),"",(G545-F545)*1440)</f>
        <v/>
      </c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7">
        <f>IF(OR(F546="",G546=""),"",(G546-F546)*1440)</f>
        <v/>
      </c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7">
        <f>IF(OR(F547="",G547=""),"",(G547-F547)*1440)</f>
        <v/>
      </c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7">
        <f>IF(OR(F548="",G548=""),"",(G548-F548)*1440)</f>
        <v/>
      </c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7">
        <f>IF(OR(F549="",G549=""),"",(G549-F549)*1440)</f>
        <v/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7">
        <f>IF(OR(F550="",G550=""),"",(G550-F550)*1440)</f>
        <v/>
      </c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7">
        <f>IF(OR(F551="",G551=""),"",(G551-F551)*1440)</f>
        <v/>
      </c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7">
        <f>IF(OR(F552="",G552=""),"",(G552-F552)*1440)</f>
        <v/>
      </c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7">
        <f>IF(OR(F553="",G553=""),"",(G553-F553)*1440)</f>
        <v/>
      </c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7">
        <f>IF(OR(F554="",G554=""),"",(G554-F554)*1440)</f>
        <v/>
      </c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7">
        <f>IF(OR(F555="",G555=""),"",(G555-F555)*1440)</f>
        <v/>
      </c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7">
        <f>IF(OR(F556="",G556=""),"",(G556-F556)*1440)</f>
        <v/>
      </c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7">
        <f>IF(OR(F557="",G557=""),"",(G557-F557)*1440)</f>
        <v/>
      </c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7">
        <f>IF(OR(F558="",G558=""),"",(G558-F558)*1440)</f>
        <v/>
      </c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7">
        <f>IF(OR(F559="",G559=""),"",(G559-F559)*1440)</f>
        <v/>
      </c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7">
        <f>IF(OR(F560="",G560=""),"",(G560-F560)*1440)</f>
        <v/>
      </c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7">
        <f>IF(OR(F561="",G561=""),"",(G561-F561)*1440)</f>
        <v/>
      </c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7">
        <f>IF(OR(F562="",G562=""),"",(G562-F562)*1440)</f>
        <v/>
      </c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7">
        <f>IF(OR(F563="",G563=""),"",(G563-F563)*1440)</f>
        <v/>
      </c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7">
        <f>IF(OR(F564="",G564=""),"",(G564-F564)*1440)</f>
        <v/>
      </c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7">
        <f>IF(OR(F565="",G565=""),"",(G565-F565)*1440)</f>
        <v/>
      </c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7">
        <f>IF(OR(F566="",G566=""),"",(G566-F566)*1440)</f>
        <v/>
      </c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7">
        <f>IF(OR(F567="",G567=""),"",(G567-F567)*1440)</f>
        <v/>
      </c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7">
        <f>IF(OR(F568="",G568=""),"",(G568-F568)*1440)</f>
        <v/>
      </c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7">
        <f>IF(OR(F569="",G569=""),"",(G569-F569)*1440)</f>
        <v/>
      </c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7">
        <f>IF(OR(F570="",G570=""),"",(G570-F570)*1440)</f>
        <v/>
      </c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7">
        <f>IF(OR(F571="",G571=""),"",(G571-F571)*1440)</f>
        <v/>
      </c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7">
        <f>IF(OR(F572="",G572=""),"",(G572-F572)*1440)</f>
        <v/>
      </c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7">
        <f>IF(OR(F573="",G573=""),"",(G573-F573)*1440)</f>
        <v/>
      </c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7">
        <f>IF(OR(F574="",G574=""),"",(G574-F574)*1440)</f>
        <v/>
      </c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7">
        <f>IF(OR(F575="",G575=""),"",(G575-F575)*1440)</f>
        <v/>
      </c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7">
        <f>IF(OR(F576="",G576=""),"",(G576-F576)*1440)</f>
        <v/>
      </c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7">
        <f>IF(OR(F577="",G577=""),"",(G577-F577)*1440)</f>
        <v/>
      </c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7">
        <f>IF(OR(F578="",G578=""),"",(G578-F578)*1440)</f>
        <v/>
      </c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7">
        <f>IF(OR(F579="",G579=""),"",(G579-F579)*1440)</f>
        <v/>
      </c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7">
        <f>IF(OR(F580="",G580=""),"",(G580-F580)*1440)</f>
        <v/>
      </c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7">
        <f>IF(OR(F581="",G581=""),"",(G581-F581)*1440)</f>
        <v/>
      </c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7">
        <f>IF(OR(F582="",G582=""),"",(G582-F582)*1440)</f>
        <v/>
      </c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7">
        <f>IF(OR(F583="",G583=""),"",(G583-F583)*1440)</f>
        <v/>
      </c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7">
        <f>IF(OR(F584="",G584=""),"",(G584-F584)*1440)</f>
        <v/>
      </c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7">
        <f>IF(OR(F585="",G585=""),"",(G585-F585)*1440)</f>
        <v/>
      </c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7">
        <f>IF(OR(F586="",G586=""),"",(G586-F586)*1440)</f>
        <v/>
      </c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7">
        <f>IF(OR(F587="",G587=""),"",(G587-F587)*1440)</f>
        <v/>
      </c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7">
        <f>IF(OR(F588="",G588=""),"",(G588-F588)*1440)</f>
        <v/>
      </c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7">
        <f>IF(OR(F589="",G589=""),"",(G589-F589)*1440)</f>
        <v/>
      </c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7">
        <f>IF(OR(F590="",G590=""),"",(G590-F590)*1440)</f>
        <v/>
      </c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7">
        <f>IF(OR(F591="",G591=""),"",(G591-F591)*1440)</f>
        <v/>
      </c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7">
        <f>IF(OR(F592="",G592=""),"",(G592-F592)*1440)</f>
        <v/>
      </c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7">
        <f>IF(OR(F593="",G593=""),"",(G593-F593)*1440)</f>
        <v/>
      </c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7">
        <f>IF(OR(F594="",G594=""),"",(G594-F594)*1440)</f>
        <v/>
      </c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7">
        <f>IF(OR(F595="",G595=""),"",(G595-F595)*1440)</f>
        <v/>
      </c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7">
        <f>IF(OR(F596="",G596=""),"",(G596-F596)*1440)</f>
        <v/>
      </c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7">
        <f>IF(OR(F597="",G597=""),"",(G597-F597)*1440)</f>
        <v/>
      </c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7">
        <f>IF(OR(F598="",G598=""),"",(G598-F598)*1440)</f>
        <v/>
      </c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7">
        <f>IF(OR(F599="",G599=""),"",(G599-F599)*1440)</f>
        <v/>
      </c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7">
        <f>IF(OR(F600="",G600=""),"",(G600-F600)*1440)</f>
        <v/>
      </c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7">
        <f>IF(OR(F601="",G601=""),"",(G601-F601)*1440)</f>
        <v/>
      </c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7">
        <f>IF(OR(F602="",G602=""),"",(G602-F602)*1440)</f>
        <v/>
      </c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7">
        <f>IF(OR(F603="",G603=""),"",(G603-F603)*1440)</f>
        <v/>
      </c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7">
        <f>IF(OR(F604="",G604=""),"",(G604-F604)*1440)</f>
        <v/>
      </c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7">
        <f>IF(OR(F605="",G605=""),"",(G605-F605)*1440)</f>
        <v/>
      </c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7">
        <f>IF(OR(F606="",G606=""),"",(G606-F606)*1440)</f>
        <v/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7">
        <f>IF(OR(F607="",G607=""),"",(G607-F607)*1440)</f>
        <v/>
      </c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7">
        <f>IF(OR(F608="",G608=""),"",(G608-F608)*1440)</f>
        <v/>
      </c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7">
        <f>IF(OR(F609="",G609=""),"",(G609-F609)*1440)</f>
        <v/>
      </c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7">
        <f>IF(OR(F610="",G610=""),"",(G610-F610)*1440)</f>
        <v/>
      </c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7">
        <f>IF(OR(F611="",G611=""),"",(G611-F611)*1440)</f>
        <v/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7">
        <f>IF(OR(F612="",G612=""),"",(G612-F612)*1440)</f>
        <v/>
      </c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7">
        <f>IF(OR(F613="",G613=""),"",(G613-F613)*1440)</f>
        <v/>
      </c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7">
        <f>IF(OR(F614="",G614=""),"",(G614-F614)*1440)</f>
        <v/>
      </c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7">
        <f>IF(OR(F615="",G615=""),"",(G615-F615)*1440)</f>
        <v/>
      </c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7">
        <f>IF(OR(F616="",G616=""),"",(G616-F616)*1440)</f>
        <v/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7">
        <f>IF(OR(F617="",G617=""),"",(G617-F617)*1440)</f>
        <v/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7">
        <f>IF(OR(F618="",G618=""),"",(G618-F618)*1440)</f>
        <v/>
      </c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7">
        <f>IF(OR(F619="",G619=""),"",(G619-F619)*1440)</f>
        <v/>
      </c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7">
        <f>IF(OR(F620="",G620=""),"",(G620-F620)*1440)</f>
        <v/>
      </c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7">
        <f>IF(OR(F621="",G621=""),"",(G621-F621)*1440)</f>
        <v/>
      </c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7">
        <f>IF(OR(F622="",G622=""),"",(G622-F622)*1440)</f>
        <v/>
      </c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7">
        <f>IF(OR(F623="",G623=""),"",(G623-F623)*1440)</f>
        <v/>
      </c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7">
        <f>IF(OR(F624="",G624=""),"",(G624-F624)*1440)</f>
        <v/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7">
        <f>IF(OR(F625="",G625=""),"",(G625-F625)*1440)</f>
        <v/>
      </c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7">
        <f>IF(OR(F626="",G626=""),"",(G626-F626)*1440)</f>
        <v/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7">
        <f>IF(OR(F627="",G627=""),"",(G627-F627)*1440)</f>
        <v/>
      </c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7">
        <f>IF(OR(F628="",G628=""),"",(G628-F628)*1440)</f>
        <v/>
      </c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7">
        <f>IF(OR(F629="",G629=""),"",(G629-F629)*1440)</f>
        <v/>
      </c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7">
        <f>IF(OR(F630="",G630=""),"",(G630-F630)*1440)</f>
        <v/>
      </c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7">
        <f>IF(OR(F631="",G631=""),"",(G631-F631)*1440)</f>
        <v/>
      </c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7">
        <f>IF(OR(F632="",G632=""),"",(G632-F632)*1440)</f>
        <v/>
      </c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7">
        <f>IF(OR(F633="",G633=""),"",(G633-F633)*1440)</f>
        <v/>
      </c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7">
        <f>IF(OR(F634="",G634=""),"",(G634-F634)*1440)</f>
        <v/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7">
        <f>IF(OR(F635="",G635=""),"",(G635-F635)*1440)</f>
        <v/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7">
        <f>IF(OR(F636="",G636=""),"",(G636-F636)*1440)</f>
        <v/>
      </c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7">
        <f>IF(OR(F637="",G637=""),"",(G637-F637)*1440)</f>
        <v/>
      </c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7">
        <f>IF(OR(F638="",G638=""),"",(G638-F638)*1440)</f>
        <v/>
      </c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7">
        <f>IF(OR(F639="",G639=""),"",(G639-F639)*1440)</f>
        <v/>
      </c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7">
        <f>IF(OR(F640="",G640=""),"",(G640-F640)*1440)</f>
        <v/>
      </c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7">
        <f>IF(OR(F641="",G641=""),"",(G641-F641)*1440)</f>
        <v/>
      </c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7">
        <f>IF(OR(F642="",G642=""),"",(G642-F642)*1440)</f>
        <v/>
      </c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7">
        <f>IF(OR(F643="",G643=""),"",(G643-F643)*1440)</f>
        <v/>
      </c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7">
        <f>IF(OR(F644="",G644=""),"",(G644-F644)*1440)</f>
        <v/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7">
        <f>IF(OR(F645="",G645=""),"",(G645-F645)*1440)</f>
        <v/>
      </c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7">
        <f>IF(OR(F646="",G646=""),"",(G646-F646)*1440)</f>
        <v/>
      </c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7">
        <f>IF(OR(F647="",G647=""),"",(G647-F647)*1440)</f>
        <v/>
      </c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7">
        <f>IF(OR(F648="",G648=""),"",(G648-F648)*1440)</f>
        <v/>
      </c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7">
        <f>IF(OR(F649="",G649=""),"",(G649-F649)*1440)</f>
        <v/>
      </c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7">
        <f>IF(OR(F650="",G650=""),"",(G650-F650)*1440)</f>
        <v/>
      </c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7">
        <f>IF(OR(F651="",G651=""),"",(G651-F651)*1440)</f>
        <v/>
      </c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7">
        <f>IF(OR(F652="",G652=""),"",(G652-F652)*1440)</f>
        <v/>
      </c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7">
        <f>IF(OR(F653="",G653=""),"",(G653-F653)*1440)</f>
        <v/>
      </c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7">
        <f>IF(OR(F654="",G654=""),"",(G654-F654)*1440)</f>
        <v/>
      </c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7">
        <f>IF(OR(F655="",G655=""),"",(G655-F655)*1440)</f>
        <v/>
      </c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7">
        <f>IF(OR(F656="",G656=""),"",(G656-F656)*1440)</f>
        <v/>
      </c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7">
        <f>IF(OR(F657="",G657=""),"",(G657-F657)*1440)</f>
        <v/>
      </c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7">
        <f>IF(OR(F658="",G658=""),"",(G658-F658)*1440)</f>
        <v/>
      </c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7">
        <f>IF(OR(F659="",G659=""),"",(G659-F659)*1440)</f>
        <v/>
      </c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7">
        <f>IF(OR(F660="",G660=""),"",(G660-F660)*1440)</f>
        <v/>
      </c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7">
        <f>IF(OR(F661="",G661=""),"",(G661-F661)*1440)</f>
        <v/>
      </c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7">
        <f>IF(OR(F662="",G662=""),"",(G662-F662)*1440)</f>
        <v/>
      </c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7">
        <f>IF(OR(F663="",G663=""),"",(G663-F663)*1440)</f>
        <v/>
      </c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7">
        <f>IF(OR(F664="",G664=""),"",(G664-F664)*1440)</f>
        <v/>
      </c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7">
        <f>IF(OR(F665="",G665=""),"",(G665-F665)*1440)</f>
        <v/>
      </c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7">
        <f>IF(OR(F666="",G666=""),"",(G666-F666)*1440)</f>
        <v/>
      </c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7">
        <f>IF(OR(F667="",G667=""),"",(G667-F667)*1440)</f>
        <v/>
      </c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7">
        <f>IF(OR(F668="",G668=""),"",(G668-F668)*1440)</f>
        <v/>
      </c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7">
        <f>IF(OR(F669="",G669=""),"",(G669-F669)*1440)</f>
        <v/>
      </c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7">
        <f>IF(OR(F670="",G670=""),"",(G670-F670)*1440)</f>
        <v/>
      </c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7">
        <f>IF(OR(F671="",G671=""),"",(G671-F671)*1440)</f>
        <v/>
      </c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7">
        <f>IF(OR(F672="",G672=""),"",(G672-F672)*1440)</f>
        <v/>
      </c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7">
        <f>IF(OR(F673="",G673=""),"",(G673-F673)*1440)</f>
        <v/>
      </c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7">
        <f>IF(OR(F674="",G674=""),"",(G674-F674)*1440)</f>
        <v/>
      </c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7">
        <f>IF(OR(F675="",G675=""),"",(G675-F675)*1440)</f>
        <v/>
      </c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7">
        <f>IF(OR(F676="",G676=""),"",(G676-F676)*1440)</f>
        <v/>
      </c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7">
        <f>IF(OR(F677="",G677=""),"",(G677-F677)*1440)</f>
        <v/>
      </c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7">
        <f>IF(OR(F678="",G678=""),"",(G678-F678)*1440)</f>
        <v/>
      </c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7">
        <f>IF(OR(F679="",G679=""),"",(G679-F679)*1440)</f>
        <v/>
      </c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7">
        <f>IF(OR(F680="",G680=""),"",(G680-F680)*1440)</f>
        <v/>
      </c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7">
        <f>IF(OR(F681="",G681=""),"",(G681-F681)*1440)</f>
        <v/>
      </c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7">
        <f>IF(OR(F682="",G682=""),"",(G682-F682)*1440)</f>
        <v/>
      </c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7">
        <f>IF(OR(F683="",G683=""),"",(G683-F683)*1440)</f>
        <v/>
      </c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7">
        <f>IF(OR(F684="",G684=""),"",(G684-F684)*1440)</f>
        <v/>
      </c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7">
        <f>IF(OR(F685="",G685=""),"",(G685-F685)*1440)</f>
        <v/>
      </c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7">
        <f>IF(OR(F686="",G686=""),"",(G686-F686)*1440)</f>
        <v/>
      </c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7">
        <f>IF(OR(F687="",G687=""),"",(G687-F687)*1440)</f>
        <v/>
      </c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7">
        <f>IF(OR(F688="",G688=""),"",(G688-F688)*1440)</f>
        <v/>
      </c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7">
        <f>IF(OR(F689="",G689=""),"",(G689-F689)*1440)</f>
        <v/>
      </c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7">
        <f>IF(OR(F690="",G690=""),"",(G690-F690)*1440)</f>
        <v/>
      </c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7">
        <f>IF(OR(F691="",G691=""),"",(G691-F691)*1440)</f>
        <v/>
      </c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7">
        <f>IF(OR(F692="",G692=""),"",(G692-F692)*1440)</f>
        <v/>
      </c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7">
        <f>IF(OR(F693="",G693=""),"",(G693-F693)*1440)</f>
        <v/>
      </c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7">
        <f>IF(OR(F694="",G694=""),"",(G694-F694)*1440)</f>
        <v/>
      </c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7">
        <f>IF(OR(F695="",G695=""),"",(G695-F695)*1440)</f>
        <v/>
      </c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7">
        <f>IF(OR(F696="",G696=""),"",(G696-F696)*1440)</f>
        <v/>
      </c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7">
        <f>IF(OR(F697="",G697=""),"",(G697-F697)*1440)</f>
        <v/>
      </c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7">
        <f>IF(OR(F698="",G698=""),"",(G698-F698)*1440)</f>
        <v/>
      </c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7">
        <f>IF(OR(F699="",G699=""),"",(G699-F699)*1440)</f>
        <v/>
      </c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7">
        <f>IF(OR(F700="",G700=""),"",(G700-F700)*1440)</f>
        <v/>
      </c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7">
        <f>IF(OR(F701="",G701=""),"",(G701-F701)*1440)</f>
        <v/>
      </c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7">
        <f>IF(OR(F702="",G702=""),"",(G702-F702)*1440)</f>
        <v/>
      </c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7">
        <f>IF(OR(F703="",G703=""),"",(G703-F703)*1440)</f>
        <v/>
      </c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7">
        <f>IF(OR(F704="",G704=""),"",(G704-F704)*1440)</f>
        <v/>
      </c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7">
        <f>IF(OR(F705="",G705=""),"",(G705-F705)*1440)</f>
        <v/>
      </c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7">
        <f>IF(OR(F706="",G706=""),"",(G706-F706)*1440)</f>
        <v/>
      </c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7">
        <f>IF(OR(F707="",G707=""),"",(G707-F707)*1440)</f>
        <v/>
      </c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7">
        <f>IF(OR(F708="",G708=""),"",(G708-F708)*1440)</f>
        <v/>
      </c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7">
        <f>IF(OR(F709="",G709=""),"",(G709-F709)*1440)</f>
        <v/>
      </c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7">
        <f>IF(OR(F710="",G710=""),"",(G710-F710)*1440)</f>
        <v/>
      </c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7">
        <f>IF(OR(F711="",G711=""),"",(G711-F711)*1440)</f>
        <v/>
      </c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7">
        <f>IF(OR(F712="",G712=""),"",(G712-F712)*1440)</f>
        <v/>
      </c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7">
        <f>IF(OR(F713="",G713=""),"",(G713-F713)*1440)</f>
        <v/>
      </c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7">
        <f>IF(OR(F714="",G714=""),"",(G714-F714)*1440)</f>
        <v/>
      </c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7">
        <f>IF(OR(F715="",G715=""),"",(G715-F715)*1440)</f>
        <v/>
      </c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7">
        <f>IF(OR(F716="",G716=""),"",(G716-F716)*1440)</f>
        <v/>
      </c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7">
        <f>IF(OR(F717="",G717=""),"",(G717-F717)*1440)</f>
        <v/>
      </c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7">
        <f>IF(OR(F718="",G718=""),"",(G718-F718)*1440)</f>
        <v/>
      </c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7">
        <f>IF(OR(F719="",G719=""),"",(G719-F719)*1440)</f>
        <v/>
      </c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7">
        <f>IF(OR(F720="",G720=""),"",(G720-F720)*1440)</f>
        <v/>
      </c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7">
        <f>IF(OR(F721="",G721=""),"",(G721-F721)*1440)</f>
        <v/>
      </c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7">
        <f>IF(OR(F722="",G722=""),"",(G722-F722)*1440)</f>
        <v/>
      </c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7">
        <f>IF(OR(F723="",G723=""),"",(G723-F723)*1440)</f>
        <v/>
      </c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7">
        <f>IF(OR(F724="",G724=""),"",(G724-F724)*1440)</f>
        <v/>
      </c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7">
        <f>IF(OR(F725="",G725=""),"",(G725-F725)*1440)</f>
        <v/>
      </c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7">
        <f>IF(OR(F726="",G726=""),"",(G726-F726)*1440)</f>
        <v/>
      </c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7">
        <f>IF(OR(F727="",G727=""),"",(G727-F727)*1440)</f>
        <v/>
      </c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7">
        <f>IF(OR(F728="",G728=""),"",(G728-F728)*1440)</f>
        <v/>
      </c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7">
        <f>IF(OR(F729="",G729=""),"",(G729-F729)*1440)</f>
        <v/>
      </c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7">
        <f>IF(OR(F730="",G730=""),"",(G730-F730)*1440)</f>
        <v/>
      </c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7">
        <f>IF(OR(F731="",G731=""),"",(G731-F731)*1440)</f>
        <v/>
      </c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7">
        <f>IF(OR(F732="",G732=""),"",(G732-F732)*1440)</f>
        <v/>
      </c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7">
        <f>IF(OR(F733="",G733=""),"",(G733-F733)*1440)</f>
        <v/>
      </c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7">
        <f>IF(OR(F734="",G734=""),"",(G734-F734)*1440)</f>
        <v/>
      </c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7">
        <f>IF(OR(F735="",G735=""),"",(G735-F735)*1440)</f>
        <v/>
      </c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7">
        <f>IF(OR(F736="",G736=""),"",(G736-F736)*1440)</f>
        <v/>
      </c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7">
        <f>IF(OR(F737="",G737=""),"",(G737-F737)*1440)</f>
        <v/>
      </c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7">
        <f>IF(OR(F738="",G738=""),"",(G738-F738)*1440)</f>
        <v/>
      </c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7">
        <f>IF(OR(F739="",G739=""),"",(G739-F739)*1440)</f>
        <v/>
      </c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7">
        <f>IF(OR(F740="",G740=""),"",(G740-F740)*1440)</f>
        <v/>
      </c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7">
        <f>IF(OR(F741="",G741=""),"",(G741-F741)*1440)</f>
        <v/>
      </c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7">
        <f>IF(OR(F742="",G742=""),"",(G742-F742)*1440)</f>
        <v/>
      </c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7">
        <f>IF(OR(F743="",G743=""),"",(G743-F743)*1440)</f>
        <v/>
      </c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7">
        <f>IF(OR(F744="",G744=""),"",(G744-F744)*1440)</f>
        <v/>
      </c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7">
        <f>IF(OR(F745="",G745=""),"",(G745-F745)*1440)</f>
        <v/>
      </c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7">
        <f>IF(OR(F746="",G746=""),"",(G746-F746)*1440)</f>
        <v/>
      </c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7">
        <f>IF(OR(F747="",G747=""),"",(G747-F747)*1440)</f>
        <v/>
      </c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7">
        <f>IF(OR(F748="",G748=""),"",(G748-F748)*1440)</f>
        <v/>
      </c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7">
        <f>IF(OR(F749="",G749=""),"",(G749-F749)*1440)</f>
        <v/>
      </c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7">
        <f>IF(OR(F750="",G750=""),"",(G750-F750)*1440)</f>
        <v/>
      </c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7">
        <f>IF(OR(F751="",G751=""),"",(G751-F751)*1440)</f>
        <v/>
      </c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7">
        <f>IF(OR(F752="",G752=""),"",(G752-F752)*1440)</f>
        <v/>
      </c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7">
        <f>IF(OR(F753="",G753=""),"",(G753-F753)*1440)</f>
        <v/>
      </c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7">
        <f>IF(OR(F754="",G754=""),"",(G754-F754)*1440)</f>
        <v/>
      </c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7">
        <f>IF(OR(F755="",G755=""),"",(G755-F755)*1440)</f>
        <v/>
      </c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7">
        <f>IF(OR(F756="",G756=""),"",(G756-F756)*1440)</f>
        <v/>
      </c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7">
        <f>IF(OR(F757="",G757=""),"",(G757-F757)*1440)</f>
        <v/>
      </c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7">
        <f>IF(OR(F758="",G758=""),"",(G758-F758)*1440)</f>
        <v/>
      </c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7">
        <f>IF(OR(F759="",G759=""),"",(G759-F759)*1440)</f>
        <v/>
      </c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7">
        <f>IF(OR(F760="",G760=""),"",(G760-F760)*1440)</f>
        <v/>
      </c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7">
        <f>IF(OR(F761="",G761=""),"",(G761-F761)*1440)</f>
        <v/>
      </c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7">
        <f>IF(OR(F762="",G762=""),"",(G762-F762)*1440)</f>
        <v/>
      </c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7">
        <f>IF(OR(F763="",G763=""),"",(G763-F763)*1440)</f>
        <v/>
      </c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7">
        <f>IF(OR(F764="",G764=""),"",(G764-F764)*1440)</f>
        <v/>
      </c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7">
        <f>IF(OR(F765="",G765=""),"",(G765-F765)*1440)</f>
        <v/>
      </c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7">
        <f>IF(OR(F766="",G766=""),"",(G766-F766)*1440)</f>
        <v/>
      </c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7">
        <f>IF(OR(F767="",G767=""),"",(G767-F767)*1440)</f>
        <v/>
      </c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7">
        <f>IF(OR(F768="",G768=""),"",(G768-F768)*1440)</f>
        <v/>
      </c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7">
        <f>IF(OR(F769="",G769=""),"",(G769-F769)*1440)</f>
        <v/>
      </c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7">
        <f>IF(OR(F770="",G770=""),"",(G770-F770)*1440)</f>
        <v/>
      </c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7">
        <f>IF(OR(F771="",G771=""),"",(G771-F771)*1440)</f>
        <v/>
      </c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7">
        <f>IF(OR(F772="",G772=""),"",(G772-F772)*1440)</f>
        <v/>
      </c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7">
        <f>IF(OR(F773="",G773=""),"",(G773-F773)*1440)</f>
        <v/>
      </c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7">
        <f>IF(OR(F774="",G774=""),"",(G774-F774)*1440)</f>
        <v/>
      </c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7">
        <f>IF(OR(F775="",G775=""),"",(G775-F775)*1440)</f>
        <v/>
      </c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7">
        <f>IF(OR(F776="",G776=""),"",(G776-F776)*1440)</f>
        <v/>
      </c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7">
        <f>IF(OR(F777="",G777=""),"",(G777-F777)*1440)</f>
        <v/>
      </c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7">
        <f>IF(OR(F778="",G778=""),"",(G778-F778)*1440)</f>
        <v/>
      </c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7">
        <f>IF(OR(F779="",G779=""),"",(G779-F779)*1440)</f>
        <v/>
      </c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7">
        <f>IF(OR(F780="",G780=""),"",(G780-F780)*1440)</f>
        <v/>
      </c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7">
        <f>IF(OR(F781="",G781=""),"",(G781-F781)*1440)</f>
        <v/>
      </c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7">
        <f>IF(OR(F782="",G782=""),"",(G782-F782)*1440)</f>
        <v/>
      </c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7">
        <f>IF(OR(F783="",G783=""),"",(G783-F783)*1440)</f>
        <v/>
      </c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7">
        <f>IF(OR(F784="",G784=""),"",(G784-F784)*1440)</f>
        <v/>
      </c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7">
        <f>IF(OR(F785="",G785=""),"",(G785-F785)*1440)</f>
        <v/>
      </c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7">
        <f>IF(OR(F786="",G786=""),"",(G786-F786)*1440)</f>
        <v/>
      </c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7">
        <f>IF(OR(F787="",G787=""),"",(G787-F787)*1440)</f>
        <v/>
      </c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7">
        <f>IF(OR(F788="",G788=""),"",(G788-F788)*1440)</f>
        <v/>
      </c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7">
        <f>IF(OR(F789="",G789=""),"",(G789-F789)*1440)</f>
        <v/>
      </c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7">
        <f>IF(OR(F790="",G790=""),"",(G790-F790)*1440)</f>
        <v/>
      </c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7">
        <f>IF(OR(F791="",G791=""),"",(G791-F791)*1440)</f>
        <v/>
      </c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7">
        <f>IF(OR(F792="",G792=""),"",(G792-F792)*1440)</f>
        <v/>
      </c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7">
        <f>IF(OR(F793="",G793=""),"",(G793-F793)*1440)</f>
        <v/>
      </c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7">
        <f>IF(OR(F794="",G794=""),"",(G794-F794)*1440)</f>
        <v/>
      </c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7">
        <f>IF(OR(F795="",G795=""),"",(G795-F795)*1440)</f>
        <v/>
      </c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7">
        <f>IF(OR(F796="",G796=""),"",(G796-F796)*1440)</f>
        <v/>
      </c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7">
        <f>IF(OR(F797="",G797=""),"",(G797-F797)*1440)</f>
        <v/>
      </c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7">
        <f>IF(OR(F798="",G798=""),"",(G798-F798)*1440)</f>
        <v/>
      </c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7">
        <f>IF(OR(F799="",G799=""),"",(G799-F799)*1440)</f>
        <v/>
      </c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7">
        <f>IF(OR(F800="",G800=""),"",(G800-F800)*1440)</f>
        <v/>
      </c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7">
        <f>IF(OR(F801="",G801=""),"",(G801-F801)*1440)</f>
        <v/>
      </c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7">
        <f>IF(OR(F802="",G802=""),"",(G802-F802)*1440)</f>
        <v/>
      </c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7">
        <f>IF(OR(F803="",G803=""),"",(G803-F803)*1440)</f>
        <v/>
      </c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7">
        <f>IF(OR(F804="",G804=""),"",(G804-F804)*1440)</f>
        <v/>
      </c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7">
        <f>IF(OR(F805="",G805=""),"",(G805-F805)*1440)</f>
        <v/>
      </c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7">
        <f>IF(OR(F806="",G806=""),"",(G806-F806)*1440)</f>
        <v/>
      </c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7">
        <f>IF(OR(F807="",G807=""),"",(G807-F807)*1440)</f>
        <v/>
      </c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7">
        <f>IF(OR(F808="",G808=""),"",(G808-F808)*1440)</f>
        <v/>
      </c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7">
        <f>IF(OR(F809="",G809=""),"",(G809-F809)*1440)</f>
        <v/>
      </c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7">
        <f>IF(OR(F810="",G810=""),"",(G810-F810)*1440)</f>
        <v/>
      </c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7">
        <f>IF(OR(F811="",G811=""),"",(G811-F811)*1440)</f>
        <v/>
      </c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7">
        <f>IF(OR(F812="",G812=""),"",(G812-F812)*1440)</f>
        <v/>
      </c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7">
        <f>IF(OR(F813="",G813=""),"",(G813-F813)*1440)</f>
        <v/>
      </c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7">
        <f>IF(OR(F814="",G814=""),"",(G814-F814)*1440)</f>
        <v/>
      </c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7">
        <f>IF(OR(F815="",G815=""),"",(G815-F815)*1440)</f>
        <v/>
      </c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7">
        <f>IF(OR(F816="",G816=""),"",(G816-F816)*1440)</f>
        <v/>
      </c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7">
        <f>IF(OR(F817="",G817=""),"",(G817-F817)*1440)</f>
        <v/>
      </c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7">
        <f>IF(OR(F818="",G818=""),"",(G818-F818)*1440)</f>
        <v/>
      </c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7">
        <f>IF(OR(F819="",G819=""),"",(G819-F819)*1440)</f>
        <v/>
      </c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7">
        <f>IF(OR(F820="",G820=""),"",(G820-F820)*1440)</f>
        <v/>
      </c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7">
        <f>IF(OR(F821="",G821=""),"",(G821-F821)*1440)</f>
        <v/>
      </c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7">
        <f>IF(OR(F822="",G822=""),"",(G822-F822)*1440)</f>
        <v/>
      </c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7">
        <f>IF(OR(F823="",G823=""),"",(G823-F823)*1440)</f>
        <v/>
      </c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7">
        <f>IF(OR(F824="",G824=""),"",(G824-F824)*1440)</f>
        <v/>
      </c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7">
        <f>IF(OR(F825="",G825=""),"",(G825-F825)*1440)</f>
        <v/>
      </c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7">
        <f>IF(OR(F826="",G826=""),"",(G826-F826)*1440)</f>
        <v/>
      </c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7">
        <f>IF(OR(F827="",G827=""),"",(G827-F827)*1440)</f>
        <v/>
      </c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7">
        <f>IF(OR(F828="",G828=""),"",(G828-F828)*1440)</f>
        <v/>
      </c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7">
        <f>IF(OR(F829="",G829=""),"",(G829-F829)*1440)</f>
        <v/>
      </c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7">
        <f>IF(OR(F830="",G830=""),"",(G830-F830)*1440)</f>
        <v/>
      </c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7">
        <f>IF(OR(F831="",G831=""),"",(G831-F831)*1440)</f>
        <v/>
      </c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7">
        <f>IF(OR(F832="",G832=""),"",(G832-F832)*1440)</f>
        <v/>
      </c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7">
        <f>IF(OR(F833="",G833=""),"",(G833-F833)*1440)</f>
        <v/>
      </c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7">
        <f>IF(OR(F834="",G834=""),"",(G834-F834)*1440)</f>
        <v/>
      </c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7">
        <f>IF(OR(F835="",G835=""),"",(G835-F835)*1440)</f>
        <v/>
      </c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7">
        <f>IF(OR(F836="",G836=""),"",(G836-F836)*1440)</f>
        <v/>
      </c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7">
        <f>IF(OR(F837="",G837=""),"",(G837-F837)*1440)</f>
        <v/>
      </c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7">
        <f>IF(OR(F838="",G838=""),"",(G838-F838)*1440)</f>
        <v/>
      </c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7">
        <f>IF(OR(F839="",G839=""),"",(G839-F839)*1440)</f>
        <v/>
      </c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7">
        <f>IF(OR(F840="",G840=""),"",(G840-F840)*1440)</f>
        <v/>
      </c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7">
        <f>IF(OR(F841="",G841=""),"",(G841-F841)*1440)</f>
        <v/>
      </c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7">
        <f>IF(OR(F842="",G842=""),"",(G842-F842)*1440)</f>
        <v/>
      </c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7">
        <f>IF(OR(F843="",G843=""),"",(G843-F843)*1440)</f>
        <v/>
      </c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7">
        <f>IF(OR(F844="",G844=""),"",(G844-F844)*1440)</f>
        <v/>
      </c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7">
        <f>IF(OR(F845="",G845=""),"",(G845-F845)*1440)</f>
        <v/>
      </c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7">
        <f>IF(OR(F846="",G846=""),"",(G846-F846)*1440)</f>
        <v/>
      </c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7">
        <f>IF(OR(F847="",G847=""),"",(G847-F847)*1440)</f>
        <v/>
      </c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7">
        <f>IF(OR(F848="",G848=""),"",(G848-F848)*1440)</f>
        <v/>
      </c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7">
        <f>IF(OR(F849="",G849=""),"",(G849-F849)*1440)</f>
        <v/>
      </c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7">
        <f>IF(OR(F850="",G850=""),"",(G850-F850)*1440)</f>
        <v/>
      </c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7">
        <f>IF(OR(F851="",G851=""),"",(G851-F851)*1440)</f>
        <v/>
      </c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7">
        <f>IF(OR(F852="",G852=""),"",(G852-F852)*1440)</f>
        <v/>
      </c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7">
        <f>IF(OR(F853="",G853=""),"",(G853-F853)*1440)</f>
        <v/>
      </c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7">
        <f>IF(OR(F854="",G854=""),"",(G854-F854)*1440)</f>
        <v/>
      </c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7">
        <f>IF(OR(F855="",G855=""),"",(G855-F855)*1440)</f>
        <v/>
      </c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7">
        <f>IF(OR(F856="",G856=""),"",(G856-F856)*1440)</f>
        <v/>
      </c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7">
        <f>IF(OR(F857="",G857=""),"",(G857-F857)*1440)</f>
        <v/>
      </c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7">
        <f>IF(OR(F858="",G858=""),"",(G858-F858)*1440)</f>
        <v/>
      </c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7">
        <f>IF(OR(F859="",G859=""),"",(G859-F859)*1440)</f>
        <v/>
      </c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7">
        <f>IF(OR(F860="",G860=""),"",(G860-F860)*1440)</f>
        <v/>
      </c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7">
        <f>IF(OR(F861="",G861=""),"",(G861-F861)*1440)</f>
        <v/>
      </c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7">
        <f>IF(OR(F862="",G862=""),"",(G862-F862)*1440)</f>
        <v/>
      </c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7">
        <f>IF(OR(F863="",G863=""),"",(G863-F863)*1440)</f>
        <v/>
      </c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7">
        <f>IF(OR(F864="",G864=""),"",(G864-F864)*1440)</f>
        <v/>
      </c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7">
        <f>IF(OR(F865="",G865=""),"",(G865-F865)*1440)</f>
        <v/>
      </c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7">
        <f>IF(OR(F866="",G866=""),"",(G866-F866)*1440)</f>
        <v/>
      </c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7">
        <f>IF(OR(F867="",G867=""),"",(G867-F867)*1440)</f>
        <v/>
      </c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7">
        <f>IF(OR(F868="",G868=""),"",(G868-F868)*1440)</f>
        <v/>
      </c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7">
        <f>IF(OR(F869="",G869=""),"",(G869-F869)*1440)</f>
        <v/>
      </c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7">
        <f>IF(OR(F870="",G870=""),"",(G870-F870)*1440)</f>
        <v/>
      </c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7">
        <f>IF(OR(F871="",G871=""),"",(G871-F871)*1440)</f>
        <v/>
      </c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7">
        <f>IF(OR(F872="",G872=""),"",(G872-F872)*1440)</f>
        <v/>
      </c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7">
        <f>IF(OR(F873="",G873=""),"",(G873-F873)*1440)</f>
        <v/>
      </c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7">
        <f>IF(OR(F874="",G874=""),"",(G874-F874)*1440)</f>
        <v/>
      </c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7">
        <f>IF(OR(F875="",G875=""),"",(G875-F875)*1440)</f>
        <v/>
      </c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7">
        <f>IF(OR(F876="",G876=""),"",(G876-F876)*1440)</f>
        <v/>
      </c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7">
        <f>IF(OR(F877="",G877=""),"",(G877-F877)*1440)</f>
        <v/>
      </c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7">
        <f>IF(OR(F878="",G878=""),"",(G878-F878)*1440)</f>
        <v/>
      </c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7">
        <f>IF(OR(F879="",G879=""),"",(G879-F879)*1440)</f>
        <v/>
      </c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7">
        <f>IF(OR(F880="",G880=""),"",(G880-F880)*1440)</f>
        <v/>
      </c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7">
        <f>IF(OR(F881="",G881=""),"",(G881-F881)*1440)</f>
        <v/>
      </c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7">
        <f>IF(OR(F882="",G882=""),"",(G882-F882)*1440)</f>
        <v/>
      </c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7">
        <f>IF(OR(F883="",G883=""),"",(G883-F883)*1440)</f>
        <v/>
      </c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7">
        <f>IF(OR(F884="",G884=""),"",(G884-F884)*1440)</f>
        <v/>
      </c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7">
        <f>IF(OR(F885="",G885=""),"",(G885-F885)*1440)</f>
        <v/>
      </c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7">
        <f>IF(OR(F886="",G886=""),"",(G886-F886)*1440)</f>
        <v/>
      </c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7">
        <f>IF(OR(F887="",G887=""),"",(G887-F887)*1440)</f>
        <v/>
      </c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7">
        <f>IF(OR(F888="",G888=""),"",(G888-F888)*1440)</f>
        <v/>
      </c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7">
        <f>IF(OR(F889="",G889=""),"",(G889-F889)*1440)</f>
        <v/>
      </c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7">
        <f>IF(OR(F890="",G890=""),"",(G890-F890)*1440)</f>
        <v/>
      </c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7">
        <f>IF(OR(F891="",G891=""),"",(G891-F891)*1440)</f>
        <v/>
      </c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  <c r="R891" s="8" t="n"/>
      <c r="S891" s="8" t="n"/>
      <c r="T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7">
        <f>IF(OR(F892="",G892=""),"",(G892-F892)*1440)</f>
        <v/>
      </c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7">
        <f>IF(OR(F893="",G893=""),"",(G893-F893)*1440)</f>
        <v/>
      </c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  <c r="R893" s="8" t="n"/>
      <c r="S893" s="8" t="n"/>
      <c r="T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7">
        <f>IF(OR(F894="",G894=""),"",(G894-F894)*1440)</f>
        <v/>
      </c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  <c r="R894" s="8" t="n"/>
      <c r="S894" s="8" t="n"/>
      <c r="T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7">
        <f>IF(OR(F895="",G895=""),"",(G895-F895)*1440)</f>
        <v/>
      </c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  <c r="R895" s="8" t="n"/>
      <c r="S895" s="8" t="n"/>
      <c r="T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7">
        <f>IF(OR(F896="",G896=""),"",(G896-F896)*1440)</f>
        <v/>
      </c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  <c r="R896" s="8" t="n"/>
      <c r="S896" s="8" t="n"/>
      <c r="T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7">
        <f>IF(OR(F897="",G897=""),"",(G897-F897)*1440)</f>
        <v/>
      </c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7">
        <f>IF(OR(F898="",G898=""),"",(G898-F898)*1440)</f>
        <v/>
      </c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  <c r="R898" s="8" t="n"/>
      <c r="S898" s="8" t="n"/>
      <c r="T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7">
        <f>IF(OR(F899="",G899=""),"",(G899-F899)*1440)</f>
        <v/>
      </c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  <c r="R899" s="8" t="n"/>
      <c r="S899" s="8" t="n"/>
      <c r="T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7">
        <f>IF(OR(F900="",G900=""),"",(G900-F900)*1440)</f>
        <v/>
      </c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7">
        <f>IF(OR(F901="",G901=""),"",(G901-F901)*1440)</f>
        <v/>
      </c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7">
        <f>IF(OR(F902="",G902=""),"",(G902-F902)*1440)</f>
        <v/>
      </c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7">
        <f>IF(OR(F903="",G903=""),"",(G903-F903)*1440)</f>
        <v/>
      </c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7">
        <f>IF(OR(F904="",G904=""),"",(G904-F904)*1440)</f>
        <v/>
      </c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7">
        <f>IF(OR(F905="",G905=""),"",(G905-F905)*1440)</f>
        <v/>
      </c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  <c r="R905" s="8" t="n"/>
      <c r="S905" s="8" t="n"/>
      <c r="T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7">
        <f>IF(OR(F906="",G906=""),"",(G906-F906)*1440)</f>
        <v/>
      </c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  <c r="R906" s="8" t="n"/>
      <c r="S906" s="8" t="n"/>
      <c r="T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7">
        <f>IF(OR(F907="",G907=""),"",(G907-F907)*1440)</f>
        <v/>
      </c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  <c r="R907" s="8" t="n"/>
      <c r="S907" s="8" t="n"/>
      <c r="T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7">
        <f>IF(OR(F908="",G908=""),"",(G908-F908)*1440)</f>
        <v/>
      </c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7">
        <f>IF(OR(F909="",G909=""),"",(G909-F909)*1440)</f>
        <v/>
      </c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  <c r="R909" s="8" t="n"/>
      <c r="S909" s="8" t="n"/>
      <c r="T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7">
        <f>IF(OR(F910="",G910=""),"",(G910-F910)*1440)</f>
        <v/>
      </c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  <c r="R910" s="8" t="n"/>
      <c r="S910" s="8" t="n"/>
      <c r="T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7">
        <f>IF(OR(F911="",G911=""),"",(G911-F911)*1440)</f>
        <v/>
      </c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7">
        <f>IF(OR(F912="",G912=""),"",(G912-F912)*1440)</f>
        <v/>
      </c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  <c r="R912" s="8" t="n"/>
      <c r="S912" s="8" t="n"/>
      <c r="T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7">
        <f>IF(OR(F913="",G913=""),"",(G913-F913)*1440)</f>
        <v/>
      </c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  <c r="R913" s="8" t="n"/>
      <c r="S913" s="8" t="n"/>
      <c r="T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7">
        <f>IF(OR(F914="",G914=""),"",(G914-F914)*1440)</f>
        <v/>
      </c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7">
        <f>IF(OR(F915="",G915=""),"",(G915-F915)*1440)</f>
        <v/>
      </c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  <c r="R915" s="8" t="n"/>
      <c r="S915" s="8" t="n"/>
      <c r="T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7">
        <f>IF(OR(F916="",G916=""),"",(G916-F916)*1440)</f>
        <v/>
      </c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7">
        <f>IF(OR(F917="",G917=""),"",(G917-F917)*1440)</f>
        <v/>
      </c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  <c r="R917" s="8" t="n"/>
      <c r="S917" s="8" t="n"/>
      <c r="T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7">
        <f>IF(OR(F918="",G918=""),"",(G918-F918)*1440)</f>
        <v/>
      </c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  <c r="R918" s="8" t="n"/>
      <c r="S918" s="8" t="n"/>
      <c r="T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7">
        <f>IF(OR(F919="",G919=""),"",(G919-F919)*1440)</f>
        <v/>
      </c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  <c r="R919" s="8" t="n"/>
      <c r="S919" s="8" t="n"/>
      <c r="T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7">
        <f>IF(OR(F920="",G920=""),"",(G920-F920)*1440)</f>
        <v/>
      </c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7">
        <f>IF(OR(F921="",G921=""),"",(G921-F921)*1440)</f>
        <v/>
      </c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7">
        <f>IF(OR(F922="",G922=""),"",(G922-F922)*1440)</f>
        <v/>
      </c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  <c r="R922" s="8" t="n"/>
      <c r="S922" s="8" t="n"/>
      <c r="T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7">
        <f>IF(OR(F923="",G923=""),"",(G923-F923)*1440)</f>
        <v/>
      </c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7">
        <f>IF(OR(F924="",G924=""),"",(G924-F924)*1440)</f>
        <v/>
      </c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7">
        <f>IF(OR(F925="",G925=""),"",(G925-F925)*1440)</f>
        <v/>
      </c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  <c r="R925" s="8" t="n"/>
      <c r="S925" s="8" t="n"/>
      <c r="T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7">
        <f>IF(OR(F926="",G926=""),"",(G926-F926)*1440)</f>
        <v/>
      </c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  <c r="R926" s="8" t="n"/>
      <c r="S926" s="8" t="n"/>
      <c r="T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7">
        <f>IF(OR(F927="",G927=""),"",(G927-F927)*1440)</f>
        <v/>
      </c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  <c r="R927" s="8" t="n"/>
      <c r="S927" s="8" t="n"/>
      <c r="T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7">
        <f>IF(OR(F928="",G928=""),"",(G928-F928)*1440)</f>
        <v/>
      </c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  <c r="R928" s="8" t="n"/>
      <c r="S928" s="8" t="n"/>
      <c r="T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7">
        <f>IF(OR(F929="",G929=""),"",(G929-F929)*1440)</f>
        <v/>
      </c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  <c r="R929" s="8" t="n"/>
      <c r="S929" s="8" t="n"/>
      <c r="T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7">
        <f>IF(OR(F930="",G930=""),"",(G930-F930)*1440)</f>
        <v/>
      </c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7">
        <f>IF(OR(F931="",G931=""),"",(G931-F931)*1440)</f>
        <v/>
      </c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  <c r="R931" s="8" t="n"/>
      <c r="S931" s="8" t="n"/>
      <c r="T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7">
        <f>IF(OR(F932="",G932=""),"",(G932-F932)*1440)</f>
        <v/>
      </c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7">
        <f>IF(OR(F933="",G933=""),"",(G933-F933)*1440)</f>
        <v/>
      </c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7">
        <f>IF(OR(F934="",G934=""),"",(G934-F934)*1440)</f>
        <v/>
      </c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7">
        <f>IF(OR(F935="",G935=""),"",(G935-F935)*1440)</f>
        <v/>
      </c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7">
        <f>IF(OR(F936="",G936=""),"",(G936-F936)*1440)</f>
        <v/>
      </c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7">
        <f>IF(OR(F937="",G937=""),"",(G937-F937)*1440)</f>
        <v/>
      </c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7">
        <f>IF(OR(F938="",G938=""),"",(G938-F938)*1440)</f>
        <v/>
      </c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7">
        <f>IF(OR(F939="",G939=""),"",(G939-F939)*1440)</f>
        <v/>
      </c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7">
        <f>IF(OR(F940="",G940=""),"",(G940-F940)*1440)</f>
        <v/>
      </c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7">
        <f>IF(OR(F941="",G941=""),"",(G941-F941)*1440)</f>
        <v/>
      </c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7">
        <f>IF(OR(F942="",G942=""),"",(G942-F942)*1440)</f>
        <v/>
      </c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7">
        <f>IF(OR(F943="",G943=""),"",(G943-F943)*1440)</f>
        <v/>
      </c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7">
        <f>IF(OR(F944="",G944=""),"",(G944-F944)*1440)</f>
        <v/>
      </c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7">
        <f>IF(OR(F945="",G945=""),"",(G945-F945)*1440)</f>
        <v/>
      </c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7">
        <f>IF(OR(F946="",G946=""),"",(G946-F946)*1440)</f>
        <v/>
      </c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7">
        <f>IF(OR(F947="",G947=""),"",(G947-F947)*1440)</f>
        <v/>
      </c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  <c r="R947" s="8" t="n"/>
      <c r="S947" s="8" t="n"/>
      <c r="T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7">
        <f>IF(OR(F948="",G948=""),"",(G948-F948)*1440)</f>
        <v/>
      </c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7">
        <f>IF(OR(F949="",G949=""),"",(G949-F949)*1440)</f>
        <v/>
      </c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7">
        <f>IF(OR(F950="",G950=""),"",(G950-F950)*1440)</f>
        <v/>
      </c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  <c r="R950" s="8" t="n"/>
      <c r="S950" s="8" t="n"/>
      <c r="T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7">
        <f>IF(OR(F951="",G951=""),"",(G951-F951)*1440)</f>
        <v/>
      </c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7">
        <f>IF(OR(F952="",G952=""),"",(G952-F952)*1440)</f>
        <v/>
      </c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7">
        <f>IF(OR(F953="",G953=""),"",(G953-F953)*1440)</f>
        <v/>
      </c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7">
        <f>IF(OR(F954="",G954=""),"",(G954-F954)*1440)</f>
        <v/>
      </c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7">
        <f>IF(OR(F955="",G955=""),"",(G955-F955)*1440)</f>
        <v/>
      </c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7">
        <f>IF(OR(F956="",G956=""),"",(G956-F956)*1440)</f>
        <v/>
      </c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7">
        <f>IF(OR(F957="",G957=""),"",(G957-F957)*1440)</f>
        <v/>
      </c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7">
        <f>IF(OR(F958="",G958=""),"",(G958-F958)*1440)</f>
        <v/>
      </c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7">
        <f>IF(OR(F959="",G959=""),"",(G959-F959)*1440)</f>
        <v/>
      </c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7">
        <f>IF(OR(F960="",G960=""),"",(G960-F960)*1440)</f>
        <v/>
      </c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7">
        <f>IF(OR(F961="",G961=""),"",(G961-F961)*1440)</f>
        <v/>
      </c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7">
        <f>IF(OR(F962="",G962=""),"",(G962-F962)*1440)</f>
        <v/>
      </c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7">
        <f>IF(OR(F963="",G963=""),"",(G963-F963)*1440)</f>
        <v/>
      </c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  <c r="R963" s="8" t="n"/>
      <c r="S963" s="8" t="n"/>
      <c r="T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7">
        <f>IF(OR(F964="",G964=""),"",(G964-F964)*1440)</f>
        <v/>
      </c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7">
        <f>IF(OR(F965="",G965=""),"",(G965-F965)*1440)</f>
        <v/>
      </c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  <c r="R965" s="8" t="n"/>
      <c r="S965" s="8" t="n"/>
      <c r="T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7">
        <f>IF(OR(F966="",G966=""),"",(G966-F966)*1440)</f>
        <v/>
      </c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  <c r="R966" s="8" t="n"/>
      <c r="S966" s="8" t="n"/>
      <c r="T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7">
        <f>IF(OR(F967="",G967=""),"",(G967-F967)*1440)</f>
        <v/>
      </c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7">
        <f>IF(OR(F968="",G968=""),"",(G968-F968)*1440)</f>
        <v/>
      </c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7">
        <f>IF(OR(F969="",G969=""),"",(G969-F969)*1440)</f>
        <v/>
      </c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7">
        <f>IF(OR(F970="",G970=""),"",(G970-F970)*1440)</f>
        <v/>
      </c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7">
        <f>IF(OR(F971="",G971=""),"",(G971-F971)*1440)</f>
        <v/>
      </c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7">
        <f>IF(OR(F972="",G972=""),"",(G972-F972)*1440)</f>
        <v/>
      </c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7">
        <f>IF(OR(F973="",G973=""),"",(G973-F973)*1440)</f>
        <v/>
      </c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7">
        <f>IF(OR(F974="",G974=""),"",(G974-F974)*1440)</f>
        <v/>
      </c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7">
        <f>IF(OR(F975="",G975=""),"",(G975-F975)*1440)</f>
        <v/>
      </c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7">
        <f>IF(OR(F976="",G976=""),"",(G976-F976)*1440)</f>
        <v/>
      </c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7">
        <f>IF(OR(F977="",G977=""),"",(G977-F977)*1440)</f>
        <v/>
      </c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7">
        <f>IF(OR(F978="",G978=""),"",(G978-F978)*1440)</f>
        <v/>
      </c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7">
        <f>IF(OR(F979="",G979=""),"",(G979-F979)*1440)</f>
        <v/>
      </c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7">
        <f>IF(OR(F980="",G980=""),"",(G980-F980)*1440)</f>
        <v/>
      </c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7">
        <f>IF(OR(F981="",G981=""),"",(G981-F981)*1440)</f>
        <v/>
      </c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7">
        <f>IF(OR(F982="",G982=""),"",(G982-F982)*1440)</f>
        <v/>
      </c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7">
        <f>IF(OR(F983="",G983=""),"",(G983-F983)*1440)</f>
        <v/>
      </c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7">
        <f>IF(OR(F984="",G984=""),"",(G984-F984)*1440)</f>
        <v/>
      </c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7">
        <f>IF(OR(F985="",G985=""),"",(G985-F985)*1440)</f>
        <v/>
      </c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7">
        <f>IF(OR(F986="",G986=""),"",(G986-F986)*1440)</f>
        <v/>
      </c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7">
        <f>IF(OR(F987="",G987=""),"",(G987-F987)*1440)</f>
        <v/>
      </c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7">
        <f>IF(OR(F988="",G988=""),"",(G988-F988)*1440)</f>
        <v/>
      </c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7">
        <f>IF(OR(F989="",G989=""),"",(G989-F989)*1440)</f>
        <v/>
      </c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7">
        <f>IF(OR(F990="",G990=""),"",(G990-F990)*1440)</f>
        <v/>
      </c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7">
        <f>IF(OR(F991="",G991=""),"",(G991-F991)*1440)</f>
        <v/>
      </c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7">
        <f>IF(OR(F992="",G992=""),"",(G992-F992)*1440)</f>
        <v/>
      </c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7">
        <f>IF(OR(F993="",G993=""),"",(G993-F993)*1440)</f>
        <v/>
      </c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7">
        <f>IF(OR(F994="",G994=""),"",(G994-F994)*1440)</f>
        <v/>
      </c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7">
        <f>IF(OR(F995="",G995=""),"",(G995-F995)*1440)</f>
        <v/>
      </c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7">
        <f>IF(OR(F996="",G996=""),"",(G996-F996)*1440)</f>
        <v/>
      </c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7">
        <f>IF(OR(F997="",G997=""),"",(G997-F997)*1440)</f>
        <v/>
      </c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7">
        <f>IF(OR(F998="",G998=""),"",(G998-F998)*1440)</f>
        <v/>
      </c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7">
        <f>IF(OR(F999="",G999=""),"",(G999-F999)*1440)</f>
        <v/>
      </c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7">
        <f>IF(OR(F1000="",G1000=""),"",(G1000-F1000)*1440)</f>
        <v/>
      </c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7">
        <f>IF(OR(F1001="",G1001=""),"",(G1001-F1001)*1440)</f>
        <v/>
      </c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7">
        <f>IF(OR(F1002="",G1002=""),"",(G1002-F1002)*1440)</f>
        <v/>
      </c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</row>
  </sheetData>
  <autoFilter ref="A2:T1002"/>
  <mergeCells count="1">
    <mergeCell ref="A1:T1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A3:A1002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I3:I1002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J3:J1002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Q3:Q1002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R3:R1002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S3:S1002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K82"/>
  <sheetViews>
    <sheetView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O13" sqref="O13"/>
    </sheetView>
  </sheetViews>
  <sheetFormatPr baseColWidth="8" defaultColWidth="8.7109375" defaultRowHeight="15"/>
  <cols>
    <col width="16" customWidth="1" min="1" max="1"/>
    <col width="34" customWidth="1" min="2" max="2"/>
    <col width="13" customWidth="1" min="3" max="5"/>
    <col width="10" customWidth="1" min="6" max="7"/>
    <col width="8" customWidth="1" min="8" max="9"/>
    <col width="16" customWidth="1" min="10" max="10"/>
    <col width="13" customWidth="1" min="11" max="11"/>
  </cols>
  <sheetData>
    <row r="1" ht="25.5" customHeight="1">
      <c r="A1" s="34" t="inlineStr">
        <is>
          <t>중복업무 자동 분석 — 03_통합데이터 입력 시 자동 계산</t>
        </is>
      </c>
    </row>
    <row r="3">
      <c r="A3" s="40" t="inlineStr">
        <is>
          <t>총 기록 건수</t>
        </is>
      </c>
      <c r="B3" s="53" t="n"/>
      <c r="C3" s="40" t="inlineStr">
        <is>
          <t>총 기록 시간(h)</t>
        </is>
      </c>
      <c r="D3" s="53" t="n"/>
      <c r="E3" s="40" t="inlineStr">
        <is>
          <t>미디어커머스(h)</t>
        </is>
      </c>
      <c r="F3" s="53" t="n"/>
      <c r="G3" s="40" t="inlineStr">
        <is>
          <t>브랜드커머스(h)</t>
        </is>
      </c>
      <c r="H3" s="53" t="n"/>
      <c r="I3" s="40" t="inlineStr">
        <is>
          <t>해외제조(h)</t>
        </is>
      </c>
      <c r="J3" s="53" t="n"/>
    </row>
    <row r="4" ht="16.5" customHeight="1">
      <c r="A4" s="39">
        <f>COUNTA('03_통합데이터'!$J$3:$J$1002)</f>
        <v/>
      </c>
      <c r="B4" s="53" t="n"/>
      <c r="C4" s="39">
        <f>ROUND(SUM('03_통합데이터'!$H$3:$H$1002)/60,1)</f>
        <v/>
      </c>
      <c r="D4" s="53" t="n"/>
      <c r="E4" s="39">
        <f>ROUND(SUMIF('03_통합데이터'!$A$3:$A$1002,"미디어커머스",'03_통합데이터'!$H$3:$H$1002)/60,1)</f>
        <v/>
      </c>
      <c r="F4" s="53" t="n"/>
      <c r="G4" s="39">
        <f>ROUND(SUMIF('03_통합데이터'!$A$3:$A$1002,"브랜드커머스",'03_통합데이터'!$H$3:$H$1002)/60,1)</f>
        <v/>
      </c>
      <c r="H4" s="53" t="n"/>
      <c r="I4" s="39">
        <f>ROUND(SUMIF('03_통합데이터'!$A$3:$A$1002,"해외제조",'03_통합데이터'!$H$3:$H$1002)/60,1)</f>
        <v/>
      </c>
      <c r="J4" s="53" t="n"/>
    </row>
    <row r="6" ht="36" customHeight="1">
      <c r="A6" s="18" t="inlineStr">
        <is>
          <t>업무 대분류</t>
        </is>
      </c>
      <c r="B6" s="18" t="inlineStr">
        <is>
          <t>업무 중분류</t>
        </is>
      </c>
      <c r="C6" s="18" t="inlineStr">
        <is>
          <t>미디어커머스
(분)</t>
        </is>
      </c>
      <c r="D6" s="18" t="inlineStr">
        <is>
          <t>브랜드커머스
(분)</t>
        </is>
      </c>
      <c r="E6" s="18" t="inlineStr">
        <is>
          <t>해외제조
(분)</t>
        </is>
      </c>
      <c r="F6" s="18" t="inlineStr">
        <is>
          <t>합계(분)</t>
        </is>
      </c>
      <c r="G6" s="18" t="inlineStr">
        <is>
          <t>합계(h)</t>
        </is>
      </c>
      <c r="H6" s="18" t="inlineStr">
        <is>
          <t>수행
팀수</t>
        </is>
      </c>
      <c r="I6" s="18" t="inlineStr">
        <is>
          <t>기록
건수</t>
        </is>
      </c>
      <c r="J6" s="18" t="inlineStr">
        <is>
          <t>중복 판정</t>
        </is>
      </c>
      <c r="K6" s="18" t="inlineStr">
        <is>
          <t>통합
우선순위점수</t>
        </is>
      </c>
    </row>
    <row r="7" ht="18" customHeight="1">
      <c r="A7" s="11" t="inlineStr">
        <is>
          <t>상품기획·소싱</t>
        </is>
      </c>
      <c r="B7" s="12" t="inlineStr">
        <is>
          <t>PLN-01 신상품 아이템 발굴/시장조사</t>
        </is>
      </c>
      <c r="C7" s="7">
        <f>SUMIFS('03_통합데이터'!$H$3:$H$1002,'03_통합데이터'!$J$3:$J$1002,$B7,'03_통합데이터'!$A$3:$A$1002,"미디어커머스")</f>
        <v/>
      </c>
      <c r="D7" s="7">
        <f>SUMIFS('03_통합데이터'!$H$3:$H$1002,'03_통합데이터'!$J$3:$J$1002,$B7,'03_통합데이터'!$A$3:$A$1002,"브랜드커머스")</f>
        <v/>
      </c>
      <c r="E7" s="7">
        <f>SUMIFS('03_통합데이터'!$H$3:$H$1002,'03_통합데이터'!$J$3:$J$1002,$B7,'03_통합데이터'!$A$3:$A$1002,"해외제조")</f>
        <v/>
      </c>
      <c r="F7" s="7">
        <f>SUM(C7:E7)</f>
        <v/>
      </c>
      <c r="G7" s="7">
        <f>ROUND(F7/60,1)</f>
        <v/>
      </c>
      <c r="H7" s="7">
        <f>IF(C7&gt;0,1,0)+IF(D7&gt;0,1,0)+IF(E7&gt;0,1,0)</f>
        <v/>
      </c>
      <c r="I7" s="7">
        <f>COUNTIF('03_통합데이터'!$J$3:$J$1002,$B7)</f>
        <v/>
      </c>
      <c r="J7" s="6">
        <f>IF(H7&gt;=3,"◎ 3개팀 중복",IF(H7=2,"○ 2개팀 중복",IF(H7=1,"단독 수행","미기록")))</f>
        <v/>
      </c>
      <c r="K7" s="7">
        <f>IF(H7&gt;=2,ROUND(H7*G7,1),0)</f>
        <v/>
      </c>
    </row>
    <row r="8" ht="18" customHeight="1">
      <c r="A8" s="11" t="inlineStr">
        <is>
          <t>상품기획·소싱</t>
        </is>
      </c>
      <c r="B8" s="12" t="inlineStr">
        <is>
          <t>PLN-02 경쟁사·트렌드 분석</t>
        </is>
      </c>
      <c r="C8" s="7">
        <f>SUMIFS('03_통합데이터'!$H$3:$H$1002,'03_통합데이터'!$J$3:$J$1002,$B8,'03_통합데이터'!$A$3:$A$1002,"미디어커머스")</f>
        <v/>
      </c>
      <c r="D8" s="7">
        <f>SUMIFS('03_통합데이터'!$H$3:$H$1002,'03_통합데이터'!$J$3:$J$1002,$B8,'03_통합데이터'!$A$3:$A$1002,"브랜드커머스")</f>
        <v/>
      </c>
      <c r="E8" s="7">
        <f>SUMIFS('03_통합데이터'!$H$3:$H$1002,'03_통합데이터'!$J$3:$J$1002,$B8,'03_통합데이터'!$A$3:$A$1002,"해외제조")</f>
        <v/>
      </c>
      <c r="F8" s="7">
        <f>SUM(C8:E8)</f>
        <v/>
      </c>
      <c r="G8" s="7">
        <f>ROUND(F8/60,1)</f>
        <v/>
      </c>
      <c r="H8" s="7">
        <f>IF(C8&gt;0,1,0)+IF(D8&gt;0,1,0)+IF(E8&gt;0,1,0)</f>
        <v/>
      </c>
      <c r="I8" s="7">
        <f>COUNTIF('03_통합데이터'!$J$3:$J$1002,$B8)</f>
        <v/>
      </c>
      <c r="J8" s="6">
        <f>IF(H8&gt;=3,"◎ 3개팀 중복",IF(H8=2,"○ 2개팀 중복",IF(H8=1,"단독 수행","미기록")))</f>
        <v/>
      </c>
      <c r="K8" s="7">
        <f>IF(H8&gt;=2,ROUND(H8*G8,1),0)</f>
        <v/>
      </c>
    </row>
    <row r="9" ht="18" customHeight="1">
      <c r="A9" s="11" t="inlineStr">
        <is>
          <t>상품기획·소싱</t>
        </is>
      </c>
      <c r="B9" s="12" t="inlineStr">
        <is>
          <t>PLN-03 원가·판가(마진) 설계</t>
        </is>
      </c>
      <c r="C9" s="7">
        <f>SUMIFS('03_통합데이터'!$H$3:$H$1002,'03_통합데이터'!$J$3:$J$1002,$B9,'03_통합데이터'!$A$3:$A$1002,"미디어커머스")</f>
        <v/>
      </c>
      <c r="D9" s="7">
        <f>SUMIFS('03_통합데이터'!$H$3:$H$1002,'03_통합데이터'!$J$3:$J$1002,$B9,'03_통합데이터'!$A$3:$A$1002,"브랜드커머스")</f>
        <v/>
      </c>
      <c r="E9" s="7">
        <f>SUMIFS('03_통합데이터'!$H$3:$H$1002,'03_통합데이터'!$J$3:$J$1002,$B9,'03_통합데이터'!$A$3:$A$1002,"해외제조")</f>
        <v/>
      </c>
      <c r="F9" s="7">
        <f>SUM(C9:E9)</f>
        <v/>
      </c>
      <c r="G9" s="7">
        <f>ROUND(F9/60,1)</f>
        <v/>
      </c>
      <c r="H9" s="7">
        <f>IF(C9&gt;0,1,0)+IF(D9&gt;0,1,0)+IF(E9&gt;0,1,0)</f>
        <v/>
      </c>
      <c r="I9" s="7">
        <f>COUNTIF('03_통합데이터'!$J$3:$J$1002,$B9)</f>
        <v/>
      </c>
      <c r="J9" s="6">
        <f>IF(H9&gt;=3,"◎ 3개팀 중복",IF(H9=2,"○ 2개팀 중복",IF(H9=1,"단독 수행","미기록")))</f>
        <v/>
      </c>
      <c r="K9" s="7">
        <f>IF(H9&gt;=2,ROUND(H9*G9,1),0)</f>
        <v/>
      </c>
    </row>
    <row r="10" ht="18" customHeight="1">
      <c r="A10" s="11" t="inlineStr">
        <is>
          <t>상품기획·소싱</t>
        </is>
      </c>
      <c r="B10" s="12" t="inlineStr">
        <is>
          <t>PLN-04 공급처(벤더) 발굴·컨택</t>
        </is>
      </c>
      <c r="C10" s="7">
        <f>SUMIFS('03_통합데이터'!$H$3:$H$1002,'03_통합데이터'!$J$3:$J$1002,$B10,'03_통합데이터'!$A$3:$A$1002,"미디어커머스")</f>
        <v/>
      </c>
      <c r="D10" s="7">
        <f>SUMIFS('03_통합데이터'!$H$3:$H$1002,'03_통합데이터'!$J$3:$J$1002,$B10,'03_통합데이터'!$A$3:$A$1002,"브랜드커머스")</f>
        <v/>
      </c>
      <c r="E10" s="7">
        <f>SUMIFS('03_통합데이터'!$H$3:$H$1002,'03_통합데이터'!$J$3:$J$1002,$B10,'03_통합데이터'!$A$3:$A$1002,"해외제조")</f>
        <v/>
      </c>
      <c r="F10" s="7">
        <f>SUM(C10:E10)</f>
        <v/>
      </c>
      <c r="G10" s="7">
        <f>ROUND(F10/60,1)</f>
        <v/>
      </c>
      <c r="H10" s="7">
        <f>IF(C10&gt;0,1,0)+IF(D10&gt;0,1,0)+IF(E10&gt;0,1,0)</f>
        <v/>
      </c>
      <c r="I10" s="7">
        <f>COUNTIF('03_통합데이터'!$J$3:$J$1002,$B10)</f>
        <v/>
      </c>
      <c r="J10" s="6">
        <f>IF(H10&gt;=3,"◎ 3개팀 중복",IF(H10=2,"○ 2개팀 중복",IF(H10=1,"단독 수행","미기록")))</f>
        <v/>
      </c>
      <c r="K10" s="7">
        <f>IF(H10&gt;=2,ROUND(H10*G10,1),0)</f>
        <v/>
      </c>
    </row>
    <row r="11" ht="18" customHeight="1">
      <c r="A11" s="11" t="inlineStr">
        <is>
          <t>상품기획·소싱</t>
        </is>
      </c>
      <c r="B11" s="12" t="inlineStr">
        <is>
          <t>PLN-05 샘플 요청·검토</t>
        </is>
      </c>
      <c r="C11" s="7">
        <f>SUMIFS('03_통합데이터'!$H$3:$H$1002,'03_통합데이터'!$J$3:$J$1002,$B11,'03_통합데이터'!$A$3:$A$1002,"미디어커머스")</f>
        <v/>
      </c>
      <c r="D11" s="7">
        <f>SUMIFS('03_통합데이터'!$H$3:$H$1002,'03_통합데이터'!$J$3:$J$1002,$B11,'03_통합데이터'!$A$3:$A$1002,"브랜드커머스")</f>
        <v/>
      </c>
      <c r="E11" s="7">
        <f>SUMIFS('03_통합데이터'!$H$3:$H$1002,'03_통합데이터'!$J$3:$J$1002,$B11,'03_통합데이터'!$A$3:$A$1002,"해외제조")</f>
        <v/>
      </c>
      <c r="F11" s="7">
        <f>SUM(C11:E11)</f>
        <v/>
      </c>
      <c r="G11" s="7">
        <f>ROUND(F11/60,1)</f>
        <v/>
      </c>
      <c r="H11" s="7">
        <f>IF(C11&gt;0,1,0)+IF(D11&gt;0,1,0)+IF(E11&gt;0,1,0)</f>
        <v/>
      </c>
      <c r="I11" s="7">
        <f>COUNTIF('03_통합데이터'!$J$3:$J$1002,$B11)</f>
        <v/>
      </c>
      <c r="J11" s="6">
        <f>IF(H11&gt;=3,"◎ 3개팀 중복",IF(H11=2,"○ 2개팀 중복",IF(H11=1,"단독 수행","미기록")))</f>
        <v/>
      </c>
      <c r="K11" s="7">
        <f>IF(H11&gt;=2,ROUND(H11*G11,1),0)</f>
        <v/>
      </c>
    </row>
    <row r="12" ht="18" customHeight="1">
      <c r="A12" s="11" t="inlineStr">
        <is>
          <t>상품기획·소싱</t>
        </is>
      </c>
      <c r="B12" s="12" t="inlineStr">
        <is>
          <t>PLN-06 상품 스펙·사양 확정</t>
        </is>
      </c>
      <c r="C12" s="7">
        <f>SUMIFS('03_통합데이터'!$H$3:$H$1002,'03_통합데이터'!$J$3:$J$1002,$B12,'03_통합데이터'!$A$3:$A$1002,"미디어커머스")</f>
        <v/>
      </c>
      <c r="D12" s="7">
        <f>SUMIFS('03_통합데이터'!$H$3:$H$1002,'03_통합데이터'!$J$3:$J$1002,$B12,'03_통합데이터'!$A$3:$A$1002,"브랜드커머스")</f>
        <v/>
      </c>
      <c r="E12" s="7">
        <f>SUMIFS('03_통합데이터'!$H$3:$H$1002,'03_통합데이터'!$J$3:$J$1002,$B12,'03_통합데이터'!$A$3:$A$1002,"해외제조")</f>
        <v/>
      </c>
      <c r="F12" s="7">
        <f>SUM(C12:E12)</f>
        <v/>
      </c>
      <c r="G12" s="7">
        <f>ROUND(F12/60,1)</f>
        <v/>
      </c>
      <c r="H12" s="7">
        <f>IF(C12&gt;0,1,0)+IF(D12&gt;0,1,0)+IF(E12&gt;0,1,0)</f>
        <v/>
      </c>
      <c r="I12" s="7">
        <f>COUNTIF('03_통합데이터'!$J$3:$J$1002,$B12)</f>
        <v/>
      </c>
      <c r="J12" s="6">
        <f>IF(H12&gt;=3,"◎ 3개팀 중복",IF(H12=2,"○ 2개팀 중복",IF(H12=1,"단독 수행","미기록")))</f>
        <v/>
      </c>
      <c r="K12" s="7">
        <f>IF(H12&gt;=2,ROUND(H12*G12,1),0)</f>
        <v/>
      </c>
    </row>
    <row r="13" ht="18" customHeight="1">
      <c r="A13" s="11" t="inlineStr">
        <is>
          <t>제조·생산관리</t>
        </is>
      </c>
      <c r="B13" s="12" t="inlineStr">
        <is>
          <t>MFG-01 해외공장/거래처 커뮤니케이션</t>
        </is>
      </c>
      <c r="C13" s="7">
        <f>SUMIFS('03_통합데이터'!$H$3:$H$1002,'03_통합데이터'!$J$3:$J$1002,$B13,'03_통합데이터'!$A$3:$A$1002,"미디어커머스")</f>
        <v/>
      </c>
      <c r="D13" s="7">
        <f>SUMIFS('03_통합데이터'!$H$3:$H$1002,'03_통합데이터'!$J$3:$J$1002,$B13,'03_통합데이터'!$A$3:$A$1002,"브랜드커머스")</f>
        <v/>
      </c>
      <c r="E13" s="7">
        <f>SUMIFS('03_통합데이터'!$H$3:$H$1002,'03_통합데이터'!$J$3:$J$1002,$B13,'03_통합데이터'!$A$3:$A$1002,"해외제조")</f>
        <v/>
      </c>
      <c r="F13" s="7">
        <f>SUM(C13:E13)</f>
        <v/>
      </c>
      <c r="G13" s="7">
        <f>ROUND(F13/60,1)</f>
        <v/>
      </c>
      <c r="H13" s="7">
        <f>IF(C13&gt;0,1,0)+IF(D13&gt;0,1,0)+IF(E13&gt;0,1,0)</f>
        <v/>
      </c>
      <c r="I13" s="7">
        <f>COUNTIF('03_통합데이터'!$J$3:$J$1002,$B13)</f>
        <v/>
      </c>
      <c r="J13" s="6">
        <f>IF(H13&gt;=3,"◎ 3개팀 중복",IF(H13=2,"○ 2개팀 중복",IF(H13=1,"단독 수행","미기록")))</f>
        <v/>
      </c>
      <c r="K13" s="7">
        <f>IF(H13&gt;=2,ROUND(H13*G13,1),0)</f>
        <v/>
      </c>
    </row>
    <row r="14" ht="18" customHeight="1">
      <c r="A14" s="11" t="inlineStr">
        <is>
          <t>제조·생산관리</t>
        </is>
      </c>
      <c r="B14" s="12" t="inlineStr">
        <is>
          <t>MFG-02 발주(PO) 작성·전송</t>
        </is>
      </c>
      <c r="C14" s="7">
        <f>SUMIFS('03_통합데이터'!$H$3:$H$1002,'03_통합데이터'!$J$3:$J$1002,$B14,'03_통합데이터'!$A$3:$A$1002,"미디어커머스")</f>
        <v/>
      </c>
      <c r="D14" s="7">
        <f>SUMIFS('03_통합데이터'!$H$3:$H$1002,'03_통합데이터'!$J$3:$J$1002,$B14,'03_통합데이터'!$A$3:$A$1002,"브랜드커머스")</f>
        <v/>
      </c>
      <c r="E14" s="7">
        <f>SUMIFS('03_통합데이터'!$H$3:$H$1002,'03_통합데이터'!$J$3:$J$1002,$B14,'03_통합데이터'!$A$3:$A$1002,"해외제조")</f>
        <v/>
      </c>
      <c r="F14" s="7">
        <f>SUM(C14:E14)</f>
        <v/>
      </c>
      <c r="G14" s="7">
        <f>ROUND(F14/60,1)</f>
        <v/>
      </c>
      <c r="H14" s="7">
        <f>IF(C14&gt;0,1,0)+IF(D14&gt;0,1,0)+IF(E14&gt;0,1,0)</f>
        <v/>
      </c>
      <c r="I14" s="7">
        <f>COUNTIF('03_통합데이터'!$J$3:$J$1002,$B14)</f>
        <v/>
      </c>
      <c r="J14" s="6">
        <f>IF(H14&gt;=3,"◎ 3개팀 중복",IF(H14=2,"○ 2개팀 중복",IF(H14=1,"단독 수행","미기록")))</f>
        <v/>
      </c>
      <c r="K14" s="7">
        <f>IF(H14&gt;=2,ROUND(H14*G14,1),0)</f>
        <v/>
      </c>
    </row>
    <row r="15" ht="18" customHeight="1">
      <c r="A15" s="11" t="inlineStr">
        <is>
          <t>제조·생산관리</t>
        </is>
      </c>
      <c r="B15" s="12" t="inlineStr">
        <is>
          <t>MFG-03 생산일정 관리·납기 독촉</t>
        </is>
      </c>
      <c r="C15" s="7">
        <f>SUMIFS('03_통합데이터'!$H$3:$H$1002,'03_통합데이터'!$J$3:$J$1002,$B15,'03_통합데이터'!$A$3:$A$1002,"미디어커머스")</f>
        <v/>
      </c>
      <c r="D15" s="7">
        <f>SUMIFS('03_통합데이터'!$H$3:$H$1002,'03_통합데이터'!$J$3:$J$1002,$B15,'03_통합데이터'!$A$3:$A$1002,"브랜드커머스")</f>
        <v/>
      </c>
      <c r="E15" s="7">
        <f>SUMIFS('03_통합데이터'!$H$3:$H$1002,'03_통합데이터'!$J$3:$J$1002,$B15,'03_통합데이터'!$A$3:$A$1002,"해외제조")</f>
        <v/>
      </c>
      <c r="F15" s="7">
        <f>SUM(C15:E15)</f>
        <v/>
      </c>
      <c r="G15" s="7">
        <f>ROUND(F15/60,1)</f>
        <v/>
      </c>
      <c r="H15" s="7">
        <f>IF(C15&gt;0,1,0)+IF(D15&gt;0,1,0)+IF(E15&gt;0,1,0)</f>
        <v/>
      </c>
      <c r="I15" s="7">
        <f>COUNTIF('03_통합데이터'!$J$3:$J$1002,$B15)</f>
        <v/>
      </c>
      <c r="J15" s="6">
        <f>IF(H15&gt;=3,"◎ 3개팀 중복",IF(H15=2,"○ 2개팀 중복",IF(H15=1,"단독 수행","미기록")))</f>
        <v/>
      </c>
      <c r="K15" s="7">
        <f>IF(H15&gt;=2,ROUND(H15*G15,1),0)</f>
        <v/>
      </c>
    </row>
    <row r="16" ht="18" customHeight="1">
      <c r="A16" s="11" t="inlineStr">
        <is>
          <t>제조·생산관리</t>
        </is>
      </c>
      <c r="B16" s="12" t="inlineStr">
        <is>
          <t>MFG-04 품질검사(QC)·불량 대응</t>
        </is>
      </c>
      <c r="C16" s="7">
        <f>SUMIFS('03_통합데이터'!$H$3:$H$1002,'03_통합데이터'!$J$3:$J$1002,$B16,'03_통합데이터'!$A$3:$A$1002,"미디어커머스")</f>
        <v/>
      </c>
      <c r="D16" s="7">
        <f>SUMIFS('03_통합데이터'!$H$3:$H$1002,'03_통합데이터'!$J$3:$J$1002,$B16,'03_통합데이터'!$A$3:$A$1002,"브랜드커머스")</f>
        <v/>
      </c>
      <c r="E16" s="7">
        <f>SUMIFS('03_통합데이터'!$H$3:$H$1002,'03_통합데이터'!$J$3:$J$1002,$B16,'03_통합데이터'!$A$3:$A$1002,"해외제조")</f>
        <v/>
      </c>
      <c r="F16" s="7">
        <f>SUM(C16:E16)</f>
        <v/>
      </c>
      <c r="G16" s="7">
        <f>ROUND(F16/60,1)</f>
        <v/>
      </c>
      <c r="H16" s="7">
        <f>IF(C16&gt;0,1,0)+IF(D16&gt;0,1,0)+IF(E16&gt;0,1,0)</f>
        <v/>
      </c>
      <c r="I16" s="7">
        <f>COUNTIF('03_통합데이터'!$J$3:$J$1002,$B16)</f>
        <v/>
      </c>
      <c r="J16" s="6">
        <f>IF(H16&gt;=3,"◎ 3개팀 중복",IF(H16=2,"○ 2개팀 중복",IF(H16=1,"단독 수행","미기록")))</f>
        <v/>
      </c>
      <c r="K16" s="7">
        <f>IF(H16&gt;=2,ROUND(H16*G16,1),0)</f>
        <v/>
      </c>
    </row>
    <row r="17" ht="18" customHeight="1">
      <c r="A17" s="11" t="inlineStr">
        <is>
          <t>제조·생산관리</t>
        </is>
      </c>
      <c r="B17" s="12" t="inlineStr">
        <is>
          <t>MFG-05 수입통관·인증(KC 등) 처리</t>
        </is>
      </c>
      <c r="C17" s="7">
        <f>SUMIFS('03_통합데이터'!$H$3:$H$1002,'03_통합데이터'!$J$3:$J$1002,$B17,'03_통합데이터'!$A$3:$A$1002,"미디어커머스")</f>
        <v/>
      </c>
      <c r="D17" s="7">
        <f>SUMIFS('03_통합데이터'!$H$3:$H$1002,'03_통합데이터'!$J$3:$J$1002,$B17,'03_통합데이터'!$A$3:$A$1002,"브랜드커머스")</f>
        <v/>
      </c>
      <c r="E17" s="7">
        <f>SUMIFS('03_통합데이터'!$H$3:$H$1002,'03_통합데이터'!$J$3:$J$1002,$B17,'03_통합데이터'!$A$3:$A$1002,"해외제조")</f>
        <v/>
      </c>
      <c r="F17" s="7">
        <f>SUM(C17:E17)</f>
        <v/>
      </c>
      <c r="G17" s="7">
        <f>ROUND(F17/60,1)</f>
        <v/>
      </c>
      <c r="H17" s="7">
        <f>IF(C17&gt;0,1,0)+IF(D17&gt;0,1,0)+IF(E17&gt;0,1,0)</f>
        <v/>
      </c>
      <c r="I17" s="7">
        <f>COUNTIF('03_통합데이터'!$J$3:$J$1002,$B17)</f>
        <v/>
      </c>
      <c r="J17" s="6">
        <f>IF(H17&gt;=3,"◎ 3개팀 중복",IF(H17=2,"○ 2개팀 중복",IF(H17=1,"단독 수행","미기록")))</f>
        <v/>
      </c>
      <c r="K17" s="7">
        <f>IF(H17&gt;=2,ROUND(H17*G17,1),0)</f>
        <v/>
      </c>
    </row>
    <row r="18" ht="18" customHeight="1">
      <c r="A18" s="11" t="inlineStr">
        <is>
          <t>제조·생산관리</t>
        </is>
      </c>
      <c r="B18" s="12" t="inlineStr">
        <is>
          <t>MFG-06 선적·입고 일정 관리</t>
        </is>
      </c>
      <c r="C18" s="7">
        <f>SUMIFS('03_통합데이터'!$H$3:$H$1002,'03_통합데이터'!$J$3:$J$1002,$B18,'03_통합데이터'!$A$3:$A$1002,"미디어커머스")</f>
        <v/>
      </c>
      <c r="D18" s="7">
        <f>SUMIFS('03_통합데이터'!$H$3:$H$1002,'03_통합데이터'!$J$3:$J$1002,$B18,'03_통합데이터'!$A$3:$A$1002,"브랜드커머스")</f>
        <v/>
      </c>
      <c r="E18" s="7">
        <f>SUMIFS('03_통합데이터'!$H$3:$H$1002,'03_통합데이터'!$J$3:$J$1002,$B18,'03_통합데이터'!$A$3:$A$1002,"해외제조")</f>
        <v/>
      </c>
      <c r="F18" s="7">
        <f>SUM(C18:E18)</f>
        <v/>
      </c>
      <c r="G18" s="7">
        <f>ROUND(F18/60,1)</f>
        <v/>
      </c>
      <c r="H18" s="7">
        <f>IF(C18&gt;0,1,0)+IF(D18&gt;0,1,0)+IF(E18&gt;0,1,0)</f>
        <v/>
      </c>
      <c r="I18" s="7">
        <f>COUNTIF('03_통합데이터'!$J$3:$J$1002,$B18)</f>
        <v/>
      </c>
      <c r="J18" s="6">
        <f>IF(H18&gt;=3,"◎ 3개팀 중복",IF(H18=2,"○ 2개팀 중복",IF(H18=1,"단독 수행","미기록")))</f>
        <v/>
      </c>
      <c r="K18" s="7">
        <f>IF(H18&gt;=2,ROUND(H18*G18,1),0)</f>
        <v/>
      </c>
    </row>
    <row r="19" ht="18" customHeight="1">
      <c r="A19" s="11" t="inlineStr">
        <is>
          <t>제조·생산관리</t>
        </is>
      </c>
      <c r="B19" s="12" t="inlineStr">
        <is>
          <t>MFG-07 단가 협상·계약</t>
        </is>
      </c>
      <c r="C19" s="7">
        <f>SUMIFS('03_통합데이터'!$H$3:$H$1002,'03_통합데이터'!$J$3:$J$1002,$B19,'03_통합데이터'!$A$3:$A$1002,"미디어커머스")</f>
        <v/>
      </c>
      <c r="D19" s="7">
        <f>SUMIFS('03_통합데이터'!$H$3:$H$1002,'03_통합데이터'!$J$3:$J$1002,$B19,'03_통합데이터'!$A$3:$A$1002,"브랜드커머스")</f>
        <v/>
      </c>
      <c r="E19" s="7">
        <f>SUMIFS('03_통합데이터'!$H$3:$H$1002,'03_통합데이터'!$J$3:$J$1002,$B19,'03_통합데이터'!$A$3:$A$1002,"해외제조")</f>
        <v/>
      </c>
      <c r="F19" s="7">
        <f>SUM(C19:E19)</f>
        <v/>
      </c>
      <c r="G19" s="7">
        <f>ROUND(F19/60,1)</f>
        <v/>
      </c>
      <c r="H19" s="7">
        <f>IF(C19&gt;0,1,0)+IF(D19&gt;0,1,0)+IF(E19&gt;0,1,0)</f>
        <v/>
      </c>
      <c r="I19" s="7">
        <f>COUNTIF('03_통합데이터'!$J$3:$J$1002,$B19)</f>
        <v/>
      </c>
      <c r="J19" s="6">
        <f>IF(H19&gt;=3,"◎ 3개팀 중복",IF(H19=2,"○ 2개팀 중복",IF(H19=1,"단독 수행","미기록")))</f>
        <v/>
      </c>
      <c r="K19" s="7">
        <f>IF(H19&gt;=2,ROUND(H19*G19,1),0)</f>
        <v/>
      </c>
    </row>
    <row r="20" ht="18" customHeight="1">
      <c r="A20" s="11" t="inlineStr">
        <is>
          <t>제조·생산관리</t>
        </is>
      </c>
      <c r="B20" s="12" t="inlineStr">
        <is>
          <t>MFG-08 MSDS·라벨 등 제품 표시사항 제작</t>
        </is>
      </c>
      <c r="C20" s="7">
        <f>SUMIFS('03_통합데이터'!$H$3:$H$1002,'03_통합데이터'!$J$3:$J$1002,$B20,'03_통합데이터'!$A$3:$A$1002,"미디어커머스")</f>
        <v/>
      </c>
      <c r="D20" s="7">
        <f>SUMIFS('03_통합데이터'!$H$3:$H$1002,'03_통합데이터'!$J$3:$J$1002,$B20,'03_통합데이터'!$A$3:$A$1002,"브랜드커머스")</f>
        <v/>
      </c>
      <c r="E20" s="7">
        <f>SUMIFS('03_통합데이터'!$H$3:$H$1002,'03_통합데이터'!$J$3:$J$1002,$B20,'03_통합데이터'!$A$3:$A$1002,"해외제조")</f>
        <v/>
      </c>
      <c r="F20" s="7">
        <f>SUM(C20:E20)</f>
        <v/>
      </c>
      <c r="G20" s="7">
        <f>ROUND(F20/60,1)</f>
        <v/>
      </c>
      <c r="H20" s="7">
        <f>IF(C20&gt;0,1,0)+IF(D20&gt;0,1,0)+IF(E20&gt;0,1,0)</f>
        <v/>
      </c>
      <c r="I20" s="7">
        <f>COUNTIF('03_통합데이터'!$J$3:$J$1002,$B20)</f>
        <v/>
      </c>
      <c r="J20" s="6">
        <f>IF(H20&gt;=3,"◎ 3개팀 중복",IF(H20=2,"○ 2개팀 중복",IF(H20=1,"단독 수행","미기록")))</f>
        <v/>
      </c>
      <c r="K20" s="7">
        <f>IF(H20&gt;=2,ROUND(H20*G20,1),0)</f>
        <v/>
      </c>
    </row>
    <row r="21" ht="18" customHeight="1">
      <c r="A21" s="11" t="inlineStr">
        <is>
          <t>마케팅·광고운영</t>
        </is>
      </c>
      <c r="B21" s="12" t="inlineStr">
        <is>
          <t>MKT-01 광고 계정 세팅·집행(메타/구글 등)</t>
        </is>
      </c>
      <c r="C21" s="7">
        <f>SUMIFS('03_통합데이터'!$H$3:$H$1002,'03_통합데이터'!$J$3:$J$1002,$B21,'03_통합데이터'!$A$3:$A$1002,"미디어커머스")</f>
        <v/>
      </c>
      <c r="D21" s="7">
        <f>SUMIFS('03_통합데이터'!$H$3:$H$1002,'03_통합데이터'!$J$3:$J$1002,$B21,'03_통합데이터'!$A$3:$A$1002,"브랜드커머스")</f>
        <v/>
      </c>
      <c r="E21" s="7">
        <f>SUMIFS('03_통합데이터'!$H$3:$H$1002,'03_통합데이터'!$J$3:$J$1002,$B21,'03_통합데이터'!$A$3:$A$1002,"해외제조")</f>
        <v/>
      </c>
      <c r="F21" s="7">
        <f>SUM(C21:E21)</f>
        <v/>
      </c>
      <c r="G21" s="7">
        <f>ROUND(F21/60,1)</f>
        <v/>
      </c>
      <c r="H21" s="7">
        <f>IF(C21&gt;0,1,0)+IF(D21&gt;0,1,0)+IF(E21&gt;0,1,0)</f>
        <v/>
      </c>
      <c r="I21" s="7">
        <f>COUNTIF('03_통합데이터'!$J$3:$J$1002,$B21)</f>
        <v/>
      </c>
      <c r="J21" s="6">
        <f>IF(H21&gt;=3,"◎ 3개팀 중복",IF(H21=2,"○ 2개팀 중복",IF(H21=1,"단독 수행","미기록")))</f>
        <v/>
      </c>
      <c r="K21" s="7">
        <f>IF(H21&gt;=2,ROUND(H21*G21,1),0)</f>
        <v/>
      </c>
    </row>
    <row r="22" ht="18" customHeight="1">
      <c r="A22" s="11" t="inlineStr">
        <is>
          <t>마케팅·광고운영</t>
        </is>
      </c>
      <c r="B22" s="12" t="inlineStr">
        <is>
          <t>MKT-02 광고 성과 모니터링·최적화</t>
        </is>
      </c>
      <c r="C22" s="7">
        <f>SUMIFS('03_통합데이터'!$H$3:$H$1002,'03_통합데이터'!$J$3:$J$1002,$B22,'03_통합데이터'!$A$3:$A$1002,"미디어커머스")</f>
        <v/>
      </c>
      <c r="D22" s="7">
        <f>SUMIFS('03_통합데이터'!$H$3:$H$1002,'03_통합데이터'!$J$3:$J$1002,$B22,'03_통합데이터'!$A$3:$A$1002,"브랜드커머스")</f>
        <v/>
      </c>
      <c r="E22" s="7">
        <f>SUMIFS('03_통합데이터'!$H$3:$H$1002,'03_통합데이터'!$J$3:$J$1002,$B22,'03_통합데이터'!$A$3:$A$1002,"해외제조")</f>
        <v/>
      </c>
      <c r="F22" s="7">
        <f>SUM(C22:E22)</f>
        <v/>
      </c>
      <c r="G22" s="7">
        <f>ROUND(F22/60,1)</f>
        <v/>
      </c>
      <c r="H22" s="7">
        <f>IF(C22&gt;0,1,0)+IF(D22&gt;0,1,0)+IF(E22&gt;0,1,0)</f>
        <v/>
      </c>
      <c r="I22" s="7">
        <f>COUNTIF('03_통합데이터'!$J$3:$J$1002,$B22)</f>
        <v/>
      </c>
      <c r="J22" s="6">
        <f>IF(H22&gt;=3,"◎ 3개팀 중복",IF(H22=2,"○ 2개팀 중복",IF(H22=1,"단독 수행","미기록")))</f>
        <v/>
      </c>
      <c r="K22" s="7">
        <f>IF(H22&gt;=2,ROUND(H22*G22,1),0)</f>
        <v/>
      </c>
    </row>
    <row r="23" ht="18" customHeight="1">
      <c r="A23" s="11" t="inlineStr">
        <is>
          <t>마케팅·광고운영</t>
        </is>
      </c>
      <c r="B23" s="12" t="inlineStr">
        <is>
          <t>MKT-03 광고 소재 기획·시안 검토</t>
        </is>
      </c>
      <c r="C23" s="7">
        <f>SUMIFS('03_통합데이터'!$H$3:$H$1002,'03_통합데이터'!$J$3:$J$1002,$B23,'03_통합데이터'!$A$3:$A$1002,"미디어커머스")</f>
        <v/>
      </c>
      <c r="D23" s="7">
        <f>SUMIFS('03_통합데이터'!$H$3:$H$1002,'03_통합데이터'!$J$3:$J$1002,$B23,'03_통합데이터'!$A$3:$A$1002,"브랜드커머스")</f>
        <v/>
      </c>
      <c r="E23" s="7">
        <f>SUMIFS('03_통합데이터'!$H$3:$H$1002,'03_통합데이터'!$J$3:$J$1002,$B23,'03_통합데이터'!$A$3:$A$1002,"해외제조")</f>
        <v/>
      </c>
      <c r="F23" s="7">
        <f>SUM(C23:E23)</f>
        <v/>
      </c>
      <c r="G23" s="7">
        <f>ROUND(F23/60,1)</f>
        <v/>
      </c>
      <c r="H23" s="7">
        <f>IF(C23&gt;0,1,0)+IF(D23&gt;0,1,0)+IF(E23&gt;0,1,0)</f>
        <v/>
      </c>
      <c r="I23" s="7">
        <f>COUNTIF('03_통합데이터'!$J$3:$J$1002,$B23)</f>
        <v/>
      </c>
      <c r="J23" s="6">
        <f>IF(H23&gt;=3,"◎ 3개팀 중복",IF(H23=2,"○ 2개팀 중복",IF(H23=1,"단독 수행","미기록")))</f>
        <v/>
      </c>
      <c r="K23" s="7">
        <f>IF(H23&gt;=2,ROUND(H23*G23,1),0)</f>
        <v/>
      </c>
    </row>
    <row r="24" ht="18" customHeight="1">
      <c r="A24" s="11" t="inlineStr">
        <is>
          <t>마케팅·광고운영</t>
        </is>
      </c>
      <c r="B24" s="12" t="inlineStr">
        <is>
          <t>MKT-04 인플루언서·체험단 섭외/관리</t>
        </is>
      </c>
      <c r="C24" s="7">
        <f>SUMIFS('03_통합데이터'!$H$3:$H$1002,'03_통합데이터'!$J$3:$J$1002,$B24,'03_통합데이터'!$A$3:$A$1002,"미디어커머스")</f>
        <v/>
      </c>
      <c r="D24" s="7">
        <f>SUMIFS('03_통합데이터'!$H$3:$H$1002,'03_통합데이터'!$J$3:$J$1002,$B24,'03_통합데이터'!$A$3:$A$1002,"브랜드커머스")</f>
        <v/>
      </c>
      <c r="E24" s="7">
        <f>SUMIFS('03_통합데이터'!$H$3:$H$1002,'03_통합데이터'!$J$3:$J$1002,$B24,'03_통합데이터'!$A$3:$A$1002,"해외제조")</f>
        <v/>
      </c>
      <c r="F24" s="7">
        <f>SUM(C24:E24)</f>
        <v/>
      </c>
      <c r="G24" s="7">
        <f>ROUND(F24/60,1)</f>
        <v/>
      </c>
      <c r="H24" s="7">
        <f>IF(C24&gt;0,1,0)+IF(D24&gt;0,1,0)+IF(E24&gt;0,1,0)</f>
        <v/>
      </c>
      <c r="I24" s="7">
        <f>COUNTIF('03_통합데이터'!$J$3:$J$1002,$B24)</f>
        <v/>
      </c>
      <c r="J24" s="6">
        <f>IF(H24&gt;=3,"◎ 3개팀 중복",IF(H24=2,"○ 2개팀 중복",IF(H24=1,"단독 수행","미기록")))</f>
        <v/>
      </c>
      <c r="K24" s="7">
        <f>IF(H24&gt;=2,ROUND(H24*G24,1),0)</f>
        <v/>
      </c>
    </row>
    <row r="25" ht="18" customHeight="1">
      <c r="A25" s="11" t="inlineStr">
        <is>
          <t>마케팅·광고운영</t>
        </is>
      </c>
      <c r="B25" s="12" t="inlineStr">
        <is>
          <t>MKT-05 프로모션·기획전 기획</t>
        </is>
      </c>
      <c r="C25" s="7">
        <f>SUMIFS('03_통합데이터'!$H$3:$H$1002,'03_통합데이터'!$J$3:$J$1002,$B25,'03_통합데이터'!$A$3:$A$1002,"미디어커머스")</f>
        <v/>
      </c>
      <c r="D25" s="7">
        <f>SUMIFS('03_통합데이터'!$H$3:$H$1002,'03_통합데이터'!$J$3:$J$1002,$B25,'03_통합데이터'!$A$3:$A$1002,"브랜드커머스")</f>
        <v/>
      </c>
      <c r="E25" s="7">
        <f>SUMIFS('03_통합데이터'!$H$3:$H$1002,'03_통합데이터'!$J$3:$J$1002,$B25,'03_통합데이터'!$A$3:$A$1002,"해외제조")</f>
        <v/>
      </c>
      <c r="F25" s="7">
        <f>SUM(C25:E25)</f>
        <v/>
      </c>
      <c r="G25" s="7">
        <f>ROUND(F25/60,1)</f>
        <v/>
      </c>
      <c r="H25" s="7">
        <f>IF(C25&gt;0,1,0)+IF(D25&gt;0,1,0)+IF(E25&gt;0,1,0)</f>
        <v/>
      </c>
      <c r="I25" s="7">
        <f>COUNTIF('03_통합데이터'!$J$3:$J$1002,$B25)</f>
        <v/>
      </c>
      <c r="J25" s="6">
        <f>IF(H25&gt;=3,"◎ 3개팀 중복",IF(H25=2,"○ 2개팀 중복",IF(H25=1,"단독 수행","미기록")))</f>
        <v/>
      </c>
      <c r="K25" s="7">
        <f>IF(H25&gt;=2,ROUND(H25*G25,1),0)</f>
        <v/>
      </c>
    </row>
    <row r="26" ht="18" customHeight="1">
      <c r="A26" s="11" t="inlineStr">
        <is>
          <t>마케팅·광고운영</t>
        </is>
      </c>
      <c r="B26" s="12" t="inlineStr">
        <is>
          <t>MKT-06 CRM(문자/알림톡/메일) 발송</t>
        </is>
      </c>
      <c r="C26" s="7">
        <f>SUMIFS('03_통합데이터'!$H$3:$H$1002,'03_통합데이터'!$J$3:$J$1002,$B26,'03_통합데이터'!$A$3:$A$1002,"미디어커머스")</f>
        <v/>
      </c>
      <c r="D26" s="7">
        <f>SUMIFS('03_통합데이터'!$H$3:$H$1002,'03_통합데이터'!$J$3:$J$1002,$B26,'03_통합데이터'!$A$3:$A$1002,"브랜드커머스")</f>
        <v/>
      </c>
      <c r="E26" s="7">
        <f>SUMIFS('03_통합데이터'!$H$3:$H$1002,'03_통합데이터'!$J$3:$J$1002,$B26,'03_통합데이터'!$A$3:$A$1002,"해외제조")</f>
        <v/>
      </c>
      <c r="F26" s="7">
        <f>SUM(C26:E26)</f>
        <v/>
      </c>
      <c r="G26" s="7">
        <f>ROUND(F26/60,1)</f>
        <v/>
      </c>
      <c r="H26" s="7">
        <f>IF(C26&gt;0,1,0)+IF(D26&gt;0,1,0)+IF(E26&gt;0,1,0)</f>
        <v/>
      </c>
      <c r="I26" s="7">
        <f>COUNTIF('03_통합데이터'!$J$3:$J$1002,$B26)</f>
        <v/>
      </c>
      <c r="J26" s="6">
        <f>IF(H26&gt;=3,"◎ 3개팀 중복",IF(H26=2,"○ 2개팀 중복",IF(H26=1,"단독 수행","미기록")))</f>
        <v/>
      </c>
      <c r="K26" s="7">
        <f>IF(H26&gt;=2,ROUND(H26*G26,1),0)</f>
        <v/>
      </c>
    </row>
    <row r="27" ht="18" customHeight="1">
      <c r="A27" s="11" t="inlineStr">
        <is>
          <t>마케팅·광고운영</t>
        </is>
      </c>
      <c r="B27" s="12" t="inlineStr">
        <is>
          <t>MKT-07 대행사 커뮤니케이션·관리</t>
        </is>
      </c>
      <c r="C27" s="7">
        <f>SUMIFS('03_통합데이터'!$H$3:$H$1002,'03_통합데이터'!$J$3:$J$1002,$B27,'03_통합데이터'!$A$3:$A$1002,"미디어커머스")</f>
        <v/>
      </c>
      <c r="D27" s="7">
        <f>SUMIFS('03_통합데이터'!$H$3:$H$1002,'03_통합데이터'!$J$3:$J$1002,$B27,'03_통합데이터'!$A$3:$A$1002,"브랜드커머스")</f>
        <v/>
      </c>
      <c r="E27" s="7">
        <f>SUMIFS('03_통합데이터'!$H$3:$H$1002,'03_통합데이터'!$J$3:$J$1002,$B27,'03_통합데이터'!$A$3:$A$1002,"해외제조")</f>
        <v/>
      </c>
      <c r="F27" s="7">
        <f>SUM(C27:E27)</f>
        <v/>
      </c>
      <c r="G27" s="7">
        <f>ROUND(F27/60,1)</f>
        <v/>
      </c>
      <c r="H27" s="7">
        <f>IF(C27&gt;0,1,0)+IF(D27&gt;0,1,0)+IF(E27&gt;0,1,0)</f>
        <v/>
      </c>
      <c r="I27" s="7">
        <f>COUNTIF('03_통합데이터'!$J$3:$J$1002,$B27)</f>
        <v/>
      </c>
      <c r="J27" s="6">
        <f>IF(H27&gt;=3,"◎ 3개팀 중복",IF(H27=2,"○ 2개팀 중복",IF(H27=1,"단독 수행","미기록")))</f>
        <v/>
      </c>
      <c r="K27" s="7">
        <f>IF(H27&gt;=2,ROUND(H27*G27,1),0)</f>
        <v/>
      </c>
    </row>
    <row r="28" ht="18" customHeight="1">
      <c r="A28" s="11" t="inlineStr">
        <is>
          <t>마케팅·광고운영</t>
        </is>
      </c>
      <c r="B28" s="12" t="inlineStr">
        <is>
          <t>MKT-08 제휴마케팅(링크프라이스 등) 운영·성과확인</t>
        </is>
      </c>
      <c r="C28" s="7">
        <f>SUMIFS('03_통합데이터'!$H$3:$H$1002,'03_통합데이터'!$J$3:$J$1002,$B28,'03_통합데이터'!$A$3:$A$1002,"미디어커머스")</f>
        <v/>
      </c>
      <c r="D28" s="7">
        <f>SUMIFS('03_통합데이터'!$H$3:$H$1002,'03_통합데이터'!$J$3:$J$1002,$B28,'03_통합데이터'!$A$3:$A$1002,"브랜드커머스")</f>
        <v/>
      </c>
      <c r="E28" s="7">
        <f>SUMIFS('03_통합데이터'!$H$3:$H$1002,'03_통합데이터'!$J$3:$J$1002,$B28,'03_통합데이터'!$A$3:$A$1002,"해외제조")</f>
        <v/>
      </c>
      <c r="F28" s="7">
        <f>SUM(C28:E28)</f>
        <v/>
      </c>
      <c r="G28" s="7">
        <f>ROUND(F28/60,1)</f>
        <v/>
      </c>
      <c r="H28" s="7">
        <f>IF(C28&gt;0,1,0)+IF(D28&gt;0,1,0)+IF(E28&gt;0,1,0)</f>
        <v/>
      </c>
      <c r="I28" s="7">
        <f>COUNTIF('03_통합데이터'!$J$3:$J$1002,$B28)</f>
        <v/>
      </c>
      <c r="J28" s="6">
        <f>IF(H28&gt;=3,"◎ 3개팀 중복",IF(H28=2,"○ 2개팀 중복",IF(H28=1,"단독 수행","미기록")))</f>
        <v/>
      </c>
      <c r="K28" s="7">
        <f>IF(H28&gt;=2,ROUND(H28*G28,1),0)</f>
        <v/>
      </c>
    </row>
    <row r="29" ht="18" customHeight="1">
      <c r="A29" s="11" t="inlineStr">
        <is>
          <t>콘텐츠제작</t>
        </is>
      </c>
      <c r="B29" s="12" t="inlineStr">
        <is>
          <t>CNT-01 상세페이지 기획·제작</t>
        </is>
      </c>
      <c r="C29" s="7">
        <f>SUMIFS('03_통합데이터'!$H$3:$H$1002,'03_통합데이터'!$J$3:$J$1002,$B29,'03_통합데이터'!$A$3:$A$1002,"미디어커머스")</f>
        <v/>
      </c>
      <c r="D29" s="7">
        <f>SUMIFS('03_통합데이터'!$H$3:$H$1002,'03_통합데이터'!$J$3:$J$1002,$B29,'03_통합데이터'!$A$3:$A$1002,"브랜드커머스")</f>
        <v/>
      </c>
      <c r="E29" s="7">
        <f>SUMIFS('03_통합데이터'!$H$3:$H$1002,'03_통합데이터'!$J$3:$J$1002,$B29,'03_통합데이터'!$A$3:$A$1002,"해외제조")</f>
        <v/>
      </c>
      <c r="F29" s="7">
        <f>SUM(C29:E29)</f>
        <v/>
      </c>
      <c r="G29" s="7">
        <f>ROUND(F29/60,1)</f>
        <v/>
      </c>
      <c r="H29" s="7">
        <f>IF(C29&gt;0,1,0)+IF(D29&gt;0,1,0)+IF(E29&gt;0,1,0)</f>
        <v/>
      </c>
      <c r="I29" s="7">
        <f>COUNTIF('03_통합데이터'!$J$3:$J$1002,$B29)</f>
        <v/>
      </c>
      <c r="J29" s="6">
        <f>IF(H29&gt;=3,"◎ 3개팀 중복",IF(H29=2,"○ 2개팀 중복",IF(H29=1,"단독 수행","미기록")))</f>
        <v/>
      </c>
      <c r="K29" s="7">
        <f>IF(H29&gt;=2,ROUND(H29*G29,1),0)</f>
        <v/>
      </c>
    </row>
    <row r="30" ht="18" customHeight="1">
      <c r="A30" s="11" t="inlineStr">
        <is>
          <t>콘텐츠제작</t>
        </is>
      </c>
      <c r="B30" s="12" t="inlineStr">
        <is>
          <t>CNT-02 촬영 기획·진행</t>
        </is>
      </c>
      <c r="C30" s="7">
        <f>SUMIFS('03_통합데이터'!$H$3:$H$1002,'03_통합데이터'!$J$3:$J$1002,$B30,'03_통합데이터'!$A$3:$A$1002,"미디어커머스")</f>
        <v/>
      </c>
      <c r="D30" s="7">
        <f>SUMIFS('03_통합데이터'!$H$3:$H$1002,'03_통합데이터'!$J$3:$J$1002,$B30,'03_통합데이터'!$A$3:$A$1002,"브랜드커머스")</f>
        <v/>
      </c>
      <c r="E30" s="7">
        <f>SUMIFS('03_통합데이터'!$H$3:$H$1002,'03_통합데이터'!$J$3:$J$1002,$B30,'03_통합데이터'!$A$3:$A$1002,"해외제조")</f>
        <v/>
      </c>
      <c r="F30" s="7">
        <f>SUM(C30:E30)</f>
        <v/>
      </c>
      <c r="G30" s="7">
        <f>ROUND(F30/60,1)</f>
        <v/>
      </c>
      <c r="H30" s="7">
        <f>IF(C30&gt;0,1,0)+IF(D30&gt;0,1,0)+IF(E30&gt;0,1,0)</f>
        <v/>
      </c>
      <c r="I30" s="7">
        <f>COUNTIF('03_통합데이터'!$J$3:$J$1002,$B30)</f>
        <v/>
      </c>
      <c r="J30" s="6">
        <f>IF(H30&gt;=3,"◎ 3개팀 중복",IF(H30=2,"○ 2개팀 중복",IF(H30=1,"단독 수행","미기록")))</f>
        <v/>
      </c>
      <c r="K30" s="7">
        <f>IF(H30&gt;=2,ROUND(H30*G30,1),0)</f>
        <v/>
      </c>
    </row>
    <row r="31" ht="18" customHeight="1">
      <c r="A31" s="11" t="inlineStr">
        <is>
          <t>콘텐츠제작</t>
        </is>
      </c>
      <c r="B31" s="12" t="inlineStr">
        <is>
          <t>CNT-03 영상 편집·숏폼 제작</t>
        </is>
      </c>
      <c r="C31" s="7">
        <f>SUMIFS('03_통합데이터'!$H$3:$H$1002,'03_통합데이터'!$J$3:$J$1002,$B31,'03_통합데이터'!$A$3:$A$1002,"미디어커머스")</f>
        <v/>
      </c>
      <c r="D31" s="7">
        <f>SUMIFS('03_통합데이터'!$H$3:$H$1002,'03_통합데이터'!$J$3:$J$1002,$B31,'03_통합데이터'!$A$3:$A$1002,"브랜드커머스")</f>
        <v/>
      </c>
      <c r="E31" s="7">
        <f>SUMIFS('03_통합데이터'!$H$3:$H$1002,'03_통합데이터'!$J$3:$J$1002,$B31,'03_통합데이터'!$A$3:$A$1002,"해외제조")</f>
        <v/>
      </c>
      <c r="F31" s="7">
        <f>SUM(C31:E31)</f>
        <v/>
      </c>
      <c r="G31" s="7">
        <f>ROUND(F31/60,1)</f>
        <v/>
      </c>
      <c r="H31" s="7">
        <f>IF(C31&gt;0,1,0)+IF(D31&gt;0,1,0)+IF(E31&gt;0,1,0)</f>
        <v/>
      </c>
      <c r="I31" s="7">
        <f>COUNTIF('03_통합데이터'!$J$3:$J$1002,$B31)</f>
        <v/>
      </c>
      <c r="J31" s="6">
        <f>IF(H31&gt;=3,"◎ 3개팀 중복",IF(H31=2,"○ 2개팀 중복",IF(H31=1,"단독 수행","미기록")))</f>
        <v/>
      </c>
      <c r="K31" s="7">
        <f>IF(H31&gt;=2,ROUND(H31*G31,1),0)</f>
        <v/>
      </c>
    </row>
    <row r="32" ht="18" customHeight="1">
      <c r="A32" s="11" t="inlineStr">
        <is>
          <t>콘텐츠제작</t>
        </is>
      </c>
      <c r="B32" s="12" t="inlineStr">
        <is>
          <t>CNT-04 카피·문구 작성</t>
        </is>
      </c>
      <c r="C32" s="7">
        <f>SUMIFS('03_통합데이터'!$H$3:$H$1002,'03_통합데이터'!$J$3:$J$1002,$B32,'03_통합데이터'!$A$3:$A$1002,"미디어커머스")</f>
        <v/>
      </c>
      <c r="D32" s="7">
        <f>SUMIFS('03_통합데이터'!$H$3:$H$1002,'03_통합데이터'!$J$3:$J$1002,$B32,'03_통합데이터'!$A$3:$A$1002,"브랜드커머스")</f>
        <v/>
      </c>
      <c r="E32" s="7">
        <f>SUMIFS('03_통합데이터'!$H$3:$H$1002,'03_통합데이터'!$J$3:$J$1002,$B32,'03_통합데이터'!$A$3:$A$1002,"해외제조")</f>
        <v/>
      </c>
      <c r="F32" s="7">
        <f>SUM(C32:E32)</f>
        <v/>
      </c>
      <c r="G32" s="7">
        <f>ROUND(F32/60,1)</f>
        <v/>
      </c>
      <c r="H32" s="7">
        <f>IF(C32&gt;0,1,0)+IF(D32&gt;0,1,0)+IF(E32&gt;0,1,0)</f>
        <v/>
      </c>
      <c r="I32" s="7">
        <f>COUNTIF('03_통합데이터'!$J$3:$J$1002,$B32)</f>
        <v/>
      </c>
      <c r="J32" s="6">
        <f>IF(H32&gt;=3,"◎ 3개팀 중복",IF(H32=2,"○ 2개팀 중복",IF(H32=1,"단독 수행","미기록")))</f>
        <v/>
      </c>
      <c r="K32" s="7">
        <f>IF(H32&gt;=2,ROUND(H32*G32,1),0)</f>
        <v/>
      </c>
    </row>
    <row r="33" ht="18" customHeight="1">
      <c r="A33" s="11" t="inlineStr">
        <is>
          <t>콘텐츠제작</t>
        </is>
      </c>
      <c r="B33" s="12" t="inlineStr">
        <is>
          <t>CNT-05 SNS 채널 운영·업로드</t>
        </is>
      </c>
      <c r="C33" s="7">
        <f>SUMIFS('03_통합데이터'!$H$3:$H$1002,'03_통합데이터'!$J$3:$J$1002,$B33,'03_통합데이터'!$A$3:$A$1002,"미디어커머스")</f>
        <v/>
      </c>
      <c r="D33" s="7">
        <f>SUMIFS('03_통합데이터'!$H$3:$H$1002,'03_통합데이터'!$J$3:$J$1002,$B33,'03_통합데이터'!$A$3:$A$1002,"브랜드커머스")</f>
        <v/>
      </c>
      <c r="E33" s="7">
        <f>SUMIFS('03_통합데이터'!$H$3:$H$1002,'03_통합데이터'!$J$3:$J$1002,$B33,'03_통합데이터'!$A$3:$A$1002,"해외제조")</f>
        <v/>
      </c>
      <c r="F33" s="7">
        <f>SUM(C33:E33)</f>
        <v/>
      </c>
      <c r="G33" s="7">
        <f>ROUND(F33/60,1)</f>
        <v/>
      </c>
      <c r="H33" s="7">
        <f>IF(C33&gt;0,1,0)+IF(D33&gt;0,1,0)+IF(E33&gt;0,1,0)</f>
        <v/>
      </c>
      <c r="I33" s="7">
        <f>COUNTIF('03_통합데이터'!$J$3:$J$1002,$B33)</f>
        <v/>
      </c>
      <c r="J33" s="6">
        <f>IF(H33&gt;=3,"◎ 3개팀 중복",IF(H33=2,"○ 2개팀 중복",IF(H33=1,"단독 수행","미기록")))</f>
        <v/>
      </c>
      <c r="K33" s="7">
        <f>IF(H33&gt;=2,ROUND(H33*G33,1),0)</f>
        <v/>
      </c>
    </row>
    <row r="34" ht="18" customHeight="1">
      <c r="A34" s="11" t="inlineStr">
        <is>
          <t>콘텐츠제작</t>
        </is>
      </c>
      <c r="B34" s="12" t="inlineStr">
        <is>
          <t>CNT-06 디자인 시안 피드백</t>
        </is>
      </c>
      <c r="C34" s="7">
        <f>SUMIFS('03_통합데이터'!$H$3:$H$1002,'03_통합데이터'!$J$3:$J$1002,$B34,'03_통합데이터'!$A$3:$A$1002,"미디어커머스")</f>
        <v/>
      </c>
      <c r="D34" s="7">
        <f>SUMIFS('03_통합데이터'!$H$3:$H$1002,'03_통합데이터'!$J$3:$J$1002,$B34,'03_통합데이터'!$A$3:$A$1002,"브랜드커머스")</f>
        <v/>
      </c>
      <c r="E34" s="7">
        <f>SUMIFS('03_통합데이터'!$H$3:$H$1002,'03_통합데이터'!$J$3:$J$1002,$B34,'03_통합데이터'!$A$3:$A$1002,"해외제조")</f>
        <v/>
      </c>
      <c r="F34" s="7">
        <f>SUM(C34:E34)</f>
        <v/>
      </c>
      <c r="G34" s="7">
        <f>ROUND(F34/60,1)</f>
        <v/>
      </c>
      <c r="H34" s="7">
        <f>IF(C34&gt;0,1,0)+IF(D34&gt;0,1,0)+IF(E34&gt;0,1,0)</f>
        <v/>
      </c>
      <c r="I34" s="7">
        <f>COUNTIF('03_통합데이터'!$J$3:$J$1002,$B34)</f>
        <v/>
      </c>
      <c r="J34" s="6">
        <f>IF(H34&gt;=3,"◎ 3개팀 중복",IF(H34=2,"○ 2개팀 중복",IF(H34=1,"단독 수행","미기록")))</f>
        <v/>
      </c>
      <c r="K34" s="7">
        <f>IF(H34&gt;=2,ROUND(H34*G34,1),0)</f>
        <v/>
      </c>
    </row>
    <row r="35" ht="18" customHeight="1">
      <c r="A35" s="11" t="inlineStr">
        <is>
          <t>콘텐츠제작</t>
        </is>
      </c>
      <c r="B35" s="12" t="inlineStr">
        <is>
          <t>CNT-07 카탈로그·영업자료 제작</t>
        </is>
      </c>
      <c r="C35" s="7">
        <f>SUMIFS('03_통합데이터'!$H$3:$H$1002,'03_통합데이터'!$J$3:$J$1002,$B35,'03_통합데이터'!$A$3:$A$1002,"미디어커머스")</f>
        <v/>
      </c>
      <c r="D35" s="7">
        <f>SUMIFS('03_통합데이터'!$H$3:$H$1002,'03_통합데이터'!$J$3:$J$1002,$B35,'03_통합데이터'!$A$3:$A$1002,"브랜드커머스")</f>
        <v/>
      </c>
      <c r="E35" s="7">
        <f>SUMIFS('03_통합데이터'!$H$3:$H$1002,'03_통합데이터'!$J$3:$J$1002,$B35,'03_통합데이터'!$A$3:$A$1002,"해외제조")</f>
        <v/>
      </c>
      <c r="F35" s="7">
        <f>SUM(C35:E35)</f>
        <v/>
      </c>
      <c r="G35" s="7">
        <f>ROUND(F35/60,1)</f>
        <v/>
      </c>
      <c r="H35" s="7">
        <f>IF(C35&gt;0,1,0)+IF(D35&gt;0,1,0)+IF(E35&gt;0,1,0)</f>
        <v/>
      </c>
      <c r="I35" s="7">
        <f>COUNTIF('03_통합데이터'!$J$3:$J$1002,$B35)</f>
        <v/>
      </c>
      <c r="J35" s="6">
        <f>IF(H35&gt;=3,"◎ 3개팀 중복",IF(H35=2,"○ 2개팀 중복",IF(H35=1,"단독 수행","미기록")))</f>
        <v/>
      </c>
      <c r="K35" s="7">
        <f>IF(H35&gt;=2,ROUND(H35*G35,1),0)</f>
        <v/>
      </c>
    </row>
    <row r="36" ht="18" customHeight="1">
      <c r="A36" s="11" t="inlineStr">
        <is>
          <t>채널·스토어운영</t>
        </is>
      </c>
      <c r="B36" s="12" t="inlineStr">
        <is>
          <t>CHN-01 상품 등록·수정(옵션/가격)</t>
        </is>
      </c>
      <c r="C36" s="7">
        <f>SUMIFS('03_통합데이터'!$H$3:$H$1002,'03_통합데이터'!$J$3:$J$1002,$B36,'03_통합데이터'!$A$3:$A$1002,"미디어커머스")</f>
        <v/>
      </c>
      <c r="D36" s="7">
        <f>SUMIFS('03_통합데이터'!$H$3:$H$1002,'03_통합데이터'!$J$3:$J$1002,$B36,'03_통합데이터'!$A$3:$A$1002,"브랜드커머스")</f>
        <v/>
      </c>
      <c r="E36" s="7">
        <f>SUMIFS('03_통합데이터'!$H$3:$H$1002,'03_통합데이터'!$J$3:$J$1002,$B36,'03_통합데이터'!$A$3:$A$1002,"해외제조")</f>
        <v/>
      </c>
      <c r="F36" s="7">
        <f>SUM(C36:E36)</f>
        <v/>
      </c>
      <c r="G36" s="7">
        <f>ROUND(F36/60,1)</f>
        <v/>
      </c>
      <c r="H36" s="7">
        <f>IF(C36&gt;0,1,0)+IF(D36&gt;0,1,0)+IF(E36&gt;0,1,0)</f>
        <v/>
      </c>
      <c r="I36" s="7">
        <f>COUNTIF('03_통합데이터'!$J$3:$J$1002,$B36)</f>
        <v/>
      </c>
      <c r="J36" s="6">
        <f>IF(H36&gt;=3,"◎ 3개팀 중복",IF(H36=2,"○ 2개팀 중복",IF(H36=1,"단독 수행","미기록")))</f>
        <v/>
      </c>
      <c r="K36" s="7">
        <f>IF(H36&gt;=2,ROUND(H36*G36,1),0)</f>
        <v/>
      </c>
    </row>
    <row r="37" ht="18" customHeight="1">
      <c r="A37" s="11" t="inlineStr">
        <is>
          <t>채널·스토어운영</t>
        </is>
      </c>
      <c r="B37" s="12" t="inlineStr">
        <is>
          <t>CHN-02 오픈마켓·종합몰 MD 커뮤니케이션</t>
        </is>
      </c>
      <c r="C37" s="7">
        <f>SUMIFS('03_통합데이터'!$H$3:$H$1002,'03_통합데이터'!$J$3:$J$1002,$B37,'03_통합데이터'!$A$3:$A$1002,"미디어커머스")</f>
        <v/>
      </c>
      <c r="D37" s="7">
        <f>SUMIFS('03_통합데이터'!$H$3:$H$1002,'03_통합데이터'!$J$3:$J$1002,$B37,'03_통합데이터'!$A$3:$A$1002,"브랜드커머스")</f>
        <v/>
      </c>
      <c r="E37" s="7">
        <f>SUMIFS('03_통합데이터'!$H$3:$H$1002,'03_통합데이터'!$J$3:$J$1002,$B37,'03_통합데이터'!$A$3:$A$1002,"해외제조")</f>
        <v/>
      </c>
      <c r="F37" s="7">
        <f>SUM(C37:E37)</f>
        <v/>
      </c>
      <c r="G37" s="7">
        <f>ROUND(F37/60,1)</f>
        <v/>
      </c>
      <c r="H37" s="7">
        <f>IF(C37&gt;0,1,0)+IF(D37&gt;0,1,0)+IF(E37&gt;0,1,0)</f>
        <v/>
      </c>
      <c r="I37" s="7">
        <f>COUNTIF('03_통합데이터'!$J$3:$J$1002,$B37)</f>
        <v/>
      </c>
      <c r="J37" s="6">
        <f>IF(H37&gt;=3,"◎ 3개팀 중복",IF(H37=2,"○ 2개팀 중복",IF(H37=1,"단독 수행","미기록")))</f>
        <v/>
      </c>
      <c r="K37" s="7">
        <f>IF(H37&gt;=2,ROUND(H37*G37,1),0)</f>
        <v/>
      </c>
    </row>
    <row r="38" ht="18" customHeight="1">
      <c r="A38" s="11" t="inlineStr">
        <is>
          <t>채널·스토어운영</t>
        </is>
      </c>
      <c r="B38" s="12" t="inlineStr">
        <is>
          <t>CHN-03 자사몰 운영·관리</t>
        </is>
      </c>
      <c r="C38" s="7">
        <f>SUMIFS('03_통합데이터'!$H$3:$H$1002,'03_통합데이터'!$J$3:$J$1002,$B38,'03_통합데이터'!$A$3:$A$1002,"미디어커머스")</f>
        <v/>
      </c>
      <c r="D38" s="7">
        <f>SUMIFS('03_통합데이터'!$H$3:$H$1002,'03_통합데이터'!$J$3:$J$1002,$B38,'03_통합데이터'!$A$3:$A$1002,"브랜드커머스")</f>
        <v/>
      </c>
      <c r="E38" s="7">
        <f>SUMIFS('03_통합데이터'!$H$3:$H$1002,'03_통합데이터'!$J$3:$J$1002,$B38,'03_통합데이터'!$A$3:$A$1002,"해외제조")</f>
        <v/>
      </c>
      <c r="F38" s="7">
        <f>SUM(C38:E38)</f>
        <v/>
      </c>
      <c r="G38" s="7">
        <f>ROUND(F38/60,1)</f>
        <v/>
      </c>
      <c r="H38" s="7">
        <f>IF(C38&gt;0,1,0)+IF(D38&gt;0,1,0)+IF(E38&gt;0,1,0)</f>
        <v/>
      </c>
      <c r="I38" s="7">
        <f>COUNTIF('03_통합데이터'!$J$3:$J$1002,$B38)</f>
        <v/>
      </c>
      <c r="J38" s="6">
        <f>IF(H38&gt;=3,"◎ 3개팀 중복",IF(H38=2,"○ 2개팀 중복",IF(H38=1,"단독 수행","미기록")))</f>
        <v/>
      </c>
      <c r="K38" s="7">
        <f>IF(H38&gt;=2,ROUND(H38*G38,1),0)</f>
        <v/>
      </c>
    </row>
    <row r="39" ht="18" customHeight="1">
      <c r="A39" s="11" t="inlineStr">
        <is>
          <t>채널·스토어운영</t>
        </is>
      </c>
      <c r="B39" s="12" t="inlineStr">
        <is>
          <t>CHN-04 라이브커머스 준비·진행</t>
        </is>
      </c>
      <c r="C39" s="7">
        <f>SUMIFS('03_통합데이터'!$H$3:$H$1002,'03_통합데이터'!$J$3:$J$1002,$B39,'03_통합데이터'!$A$3:$A$1002,"미디어커머스")</f>
        <v/>
      </c>
      <c r="D39" s="7">
        <f>SUMIFS('03_통합데이터'!$H$3:$H$1002,'03_통합데이터'!$J$3:$J$1002,$B39,'03_통합데이터'!$A$3:$A$1002,"브랜드커머스")</f>
        <v/>
      </c>
      <c r="E39" s="7">
        <f>SUMIFS('03_통합데이터'!$H$3:$H$1002,'03_통합데이터'!$J$3:$J$1002,$B39,'03_통합데이터'!$A$3:$A$1002,"해외제조")</f>
        <v/>
      </c>
      <c r="F39" s="7">
        <f>SUM(C39:E39)</f>
        <v/>
      </c>
      <c r="G39" s="7">
        <f>ROUND(F39/60,1)</f>
        <v/>
      </c>
      <c r="H39" s="7">
        <f>IF(C39&gt;0,1,0)+IF(D39&gt;0,1,0)+IF(E39&gt;0,1,0)</f>
        <v/>
      </c>
      <c r="I39" s="7">
        <f>COUNTIF('03_통합데이터'!$J$3:$J$1002,$B39)</f>
        <v/>
      </c>
      <c r="J39" s="6">
        <f>IF(H39&gt;=3,"◎ 3개팀 중복",IF(H39=2,"○ 2개팀 중복",IF(H39=1,"단독 수행","미기록")))</f>
        <v/>
      </c>
      <c r="K39" s="7">
        <f>IF(H39&gt;=2,ROUND(H39*G39,1),0)</f>
        <v/>
      </c>
    </row>
    <row r="40" ht="18" customHeight="1">
      <c r="A40" s="11" t="inlineStr">
        <is>
          <t>채널·스토어운영</t>
        </is>
      </c>
      <c r="B40" s="12" t="inlineStr">
        <is>
          <t>CHN-05 리뷰·평점 관리</t>
        </is>
      </c>
      <c r="C40" s="7">
        <f>SUMIFS('03_통합데이터'!$H$3:$H$1002,'03_통합데이터'!$J$3:$J$1002,$B40,'03_통합데이터'!$A$3:$A$1002,"미디어커머스")</f>
        <v/>
      </c>
      <c r="D40" s="7">
        <f>SUMIFS('03_통합데이터'!$H$3:$H$1002,'03_통합데이터'!$J$3:$J$1002,$B40,'03_통합데이터'!$A$3:$A$1002,"브랜드커머스")</f>
        <v/>
      </c>
      <c r="E40" s="7">
        <f>SUMIFS('03_통합데이터'!$H$3:$H$1002,'03_통합데이터'!$J$3:$J$1002,$B40,'03_통합데이터'!$A$3:$A$1002,"해외제조")</f>
        <v/>
      </c>
      <c r="F40" s="7">
        <f>SUM(C40:E40)</f>
        <v/>
      </c>
      <c r="G40" s="7">
        <f>ROUND(F40/60,1)</f>
        <v/>
      </c>
      <c r="H40" s="7">
        <f>IF(C40&gt;0,1,0)+IF(D40&gt;0,1,0)+IF(E40&gt;0,1,0)</f>
        <v/>
      </c>
      <c r="I40" s="7">
        <f>COUNTIF('03_통합데이터'!$J$3:$J$1002,$B40)</f>
        <v/>
      </c>
      <c r="J40" s="6">
        <f>IF(H40&gt;=3,"◎ 3개팀 중복",IF(H40=2,"○ 2개팀 중복",IF(H40=1,"단독 수행","미기록")))</f>
        <v/>
      </c>
      <c r="K40" s="7">
        <f>IF(H40&gt;=2,ROUND(H40*G40,1),0)</f>
        <v/>
      </c>
    </row>
    <row r="41" ht="18" customHeight="1">
      <c r="A41" s="11" t="inlineStr">
        <is>
          <t>채널·스토어운영</t>
        </is>
      </c>
      <c r="B41" s="12" t="inlineStr">
        <is>
          <t>CHN-06 채널별 프로모션 신청·정산조건 확인</t>
        </is>
      </c>
      <c r="C41" s="7">
        <f>SUMIFS('03_통합데이터'!$H$3:$H$1002,'03_통합데이터'!$J$3:$J$1002,$B41,'03_통합데이터'!$A$3:$A$1002,"미디어커머스")</f>
        <v/>
      </c>
      <c r="D41" s="7">
        <f>SUMIFS('03_통합데이터'!$H$3:$H$1002,'03_통합데이터'!$J$3:$J$1002,$B41,'03_통합데이터'!$A$3:$A$1002,"브랜드커머스")</f>
        <v/>
      </c>
      <c r="E41" s="7">
        <f>SUMIFS('03_통합데이터'!$H$3:$H$1002,'03_통합데이터'!$J$3:$J$1002,$B41,'03_통합데이터'!$A$3:$A$1002,"해외제조")</f>
        <v/>
      </c>
      <c r="F41" s="7">
        <f>SUM(C41:E41)</f>
        <v/>
      </c>
      <c r="G41" s="7">
        <f>ROUND(F41/60,1)</f>
        <v/>
      </c>
      <c r="H41" s="7">
        <f>IF(C41&gt;0,1,0)+IF(D41&gt;0,1,0)+IF(E41&gt;0,1,0)</f>
        <v/>
      </c>
      <c r="I41" s="7">
        <f>COUNTIF('03_통합데이터'!$J$3:$J$1002,$B41)</f>
        <v/>
      </c>
      <c r="J41" s="6">
        <f>IF(H41&gt;=3,"◎ 3개팀 중복",IF(H41=2,"○ 2개팀 중복",IF(H41=1,"단독 수행","미기록")))</f>
        <v/>
      </c>
      <c r="K41" s="7">
        <f>IF(H41&gt;=2,ROUND(H41*G41,1),0)</f>
        <v/>
      </c>
    </row>
    <row r="42" ht="18" customHeight="1">
      <c r="A42" s="11" t="inlineStr">
        <is>
          <t>CS·물류·재고</t>
        </is>
      </c>
      <c r="B42" s="12" t="inlineStr">
        <is>
          <t>OPS-01 고객문의(CS) 응대</t>
        </is>
      </c>
      <c r="C42" s="7">
        <f>SUMIFS('03_통합데이터'!$H$3:$H$1002,'03_통합데이터'!$J$3:$J$1002,$B42,'03_통합데이터'!$A$3:$A$1002,"미디어커머스")</f>
        <v/>
      </c>
      <c r="D42" s="7">
        <f>SUMIFS('03_통합데이터'!$H$3:$H$1002,'03_통합데이터'!$J$3:$J$1002,$B42,'03_통합데이터'!$A$3:$A$1002,"브랜드커머스")</f>
        <v/>
      </c>
      <c r="E42" s="7">
        <f>SUMIFS('03_통합데이터'!$H$3:$H$1002,'03_통합데이터'!$J$3:$J$1002,$B42,'03_통합데이터'!$A$3:$A$1002,"해외제조")</f>
        <v/>
      </c>
      <c r="F42" s="7">
        <f>SUM(C42:E42)</f>
        <v/>
      </c>
      <c r="G42" s="7">
        <f>ROUND(F42/60,1)</f>
        <v/>
      </c>
      <c r="H42" s="7">
        <f>IF(C42&gt;0,1,0)+IF(D42&gt;0,1,0)+IF(E42&gt;0,1,0)</f>
        <v/>
      </c>
      <c r="I42" s="7">
        <f>COUNTIF('03_통합데이터'!$J$3:$J$1002,$B42)</f>
        <v/>
      </c>
      <c r="J42" s="6">
        <f>IF(H42&gt;=3,"◎ 3개팀 중복",IF(H42=2,"○ 2개팀 중복",IF(H42=1,"단독 수행","미기록")))</f>
        <v/>
      </c>
      <c r="K42" s="7">
        <f>IF(H42&gt;=2,ROUND(H42*G42,1),0)</f>
        <v/>
      </c>
    </row>
    <row r="43" ht="18" customHeight="1">
      <c r="A43" s="11" t="inlineStr">
        <is>
          <t>CS·물류·재고</t>
        </is>
      </c>
      <c r="B43" s="12" t="inlineStr">
        <is>
          <t>OPS-02 반품·교환·클레임 처리</t>
        </is>
      </c>
      <c r="C43" s="7">
        <f>SUMIFS('03_통합데이터'!$H$3:$H$1002,'03_통합데이터'!$J$3:$J$1002,$B43,'03_통합데이터'!$A$3:$A$1002,"미디어커머스")</f>
        <v/>
      </c>
      <c r="D43" s="7">
        <f>SUMIFS('03_통합데이터'!$H$3:$H$1002,'03_통합데이터'!$J$3:$J$1002,$B43,'03_통합데이터'!$A$3:$A$1002,"브랜드커머스")</f>
        <v/>
      </c>
      <c r="E43" s="7">
        <f>SUMIFS('03_통합데이터'!$H$3:$H$1002,'03_통합데이터'!$J$3:$J$1002,$B43,'03_통합데이터'!$A$3:$A$1002,"해외제조")</f>
        <v/>
      </c>
      <c r="F43" s="7">
        <f>SUM(C43:E43)</f>
        <v/>
      </c>
      <c r="G43" s="7">
        <f>ROUND(F43/60,1)</f>
        <v/>
      </c>
      <c r="H43" s="7">
        <f>IF(C43&gt;0,1,0)+IF(D43&gt;0,1,0)+IF(E43&gt;0,1,0)</f>
        <v/>
      </c>
      <c r="I43" s="7">
        <f>COUNTIF('03_통합데이터'!$J$3:$J$1002,$B43)</f>
        <v/>
      </c>
      <c r="J43" s="6">
        <f>IF(H43&gt;=3,"◎ 3개팀 중복",IF(H43=2,"○ 2개팀 중복",IF(H43=1,"단독 수행","미기록")))</f>
        <v/>
      </c>
      <c r="K43" s="7">
        <f>IF(H43&gt;=2,ROUND(H43*G43,1),0)</f>
        <v/>
      </c>
    </row>
    <row r="44" ht="18" customHeight="1">
      <c r="A44" s="11" t="inlineStr">
        <is>
          <t>CS·물류·재고</t>
        </is>
      </c>
      <c r="B44" s="12" t="inlineStr">
        <is>
          <t>OPS-03 재고 현황 점검·발주 요청</t>
        </is>
      </c>
      <c r="C44" s="7">
        <f>SUMIFS('03_통합데이터'!$H$3:$H$1002,'03_통합데이터'!$J$3:$J$1002,$B44,'03_통합데이터'!$A$3:$A$1002,"미디어커머스")</f>
        <v/>
      </c>
      <c r="D44" s="7">
        <f>SUMIFS('03_통합데이터'!$H$3:$H$1002,'03_통합데이터'!$J$3:$J$1002,$B44,'03_통합데이터'!$A$3:$A$1002,"브랜드커머스")</f>
        <v/>
      </c>
      <c r="E44" s="7">
        <f>SUMIFS('03_통합데이터'!$H$3:$H$1002,'03_통합데이터'!$J$3:$J$1002,$B44,'03_통합데이터'!$A$3:$A$1002,"해외제조")</f>
        <v/>
      </c>
      <c r="F44" s="7">
        <f>SUM(C44:E44)</f>
        <v/>
      </c>
      <c r="G44" s="7">
        <f>ROUND(F44/60,1)</f>
        <v/>
      </c>
      <c r="H44" s="7">
        <f>IF(C44&gt;0,1,0)+IF(D44&gt;0,1,0)+IF(E44&gt;0,1,0)</f>
        <v/>
      </c>
      <c r="I44" s="7">
        <f>COUNTIF('03_통합데이터'!$J$3:$J$1002,$B44)</f>
        <v/>
      </c>
      <c r="J44" s="6">
        <f>IF(H44&gt;=3,"◎ 3개팀 중복",IF(H44=2,"○ 2개팀 중복",IF(H44=1,"단독 수행","미기록")))</f>
        <v/>
      </c>
      <c r="K44" s="7">
        <f>IF(H44&gt;=2,ROUND(H44*G44,1),0)</f>
        <v/>
      </c>
    </row>
    <row r="45" ht="18" customHeight="1">
      <c r="A45" s="11" t="inlineStr">
        <is>
          <t>CS·물류·재고</t>
        </is>
      </c>
      <c r="B45" s="12" t="inlineStr">
        <is>
          <t>OPS-04 3PL·물류사 커뮤니케이션</t>
        </is>
      </c>
      <c r="C45" s="7">
        <f>SUMIFS('03_통합데이터'!$H$3:$H$1002,'03_통합데이터'!$J$3:$J$1002,$B45,'03_통합데이터'!$A$3:$A$1002,"미디어커머스")</f>
        <v/>
      </c>
      <c r="D45" s="7">
        <f>SUMIFS('03_통합데이터'!$H$3:$H$1002,'03_통합데이터'!$J$3:$J$1002,$B45,'03_통합데이터'!$A$3:$A$1002,"브랜드커머스")</f>
        <v/>
      </c>
      <c r="E45" s="7">
        <f>SUMIFS('03_통합데이터'!$H$3:$H$1002,'03_통합데이터'!$J$3:$J$1002,$B45,'03_통합데이터'!$A$3:$A$1002,"해외제조")</f>
        <v/>
      </c>
      <c r="F45" s="7">
        <f>SUM(C45:E45)</f>
        <v/>
      </c>
      <c r="G45" s="7">
        <f>ROUND(F45/60,1)</f>
        <v/>
      </c>
      <c r="H45" s="7">
        <f>IF(C45&gt;0,1,0)+IF(D45&gt;0,1,0)+IF(E45&gt;0,1,0)</f>
        <v/>
      </c>
      <c r="I45" s="7">
        <f>COUNTIF('03_통합데이터'!$J$3:$J$1002,$B45)</f>
        <v/>
      </c>
      <c r="J45" s="6">
        <f>IF(H45&gt;=3,"◎ 3개팀 중복",IF(H45=2,"○ 2개팀 중복",IF(H45=1,"단독 수행","미기록")))</f>
        <v/>
      </c>
      <c r="K45" s="7">
        <f>IF(H45&gt;=2,ROUND(H45*G45,1),0)</f>
        <v/>
      </c>
    </row>
    <row r="46" ht="18" customHeight="1">
      <c r="A46" s="11" t="inlineStr">
        <is>
          <t>CS·물류·재고</t>
        </is>
      </c>
      <c r="B46" s="12" t="inlineStr">
        <is>
          <t>OPS-05 출고 이슈 대응</t>
        </is>
      </c>
      <c r="C46" s="7">
        <f>SUMIFS('03_통합데이터'!$H$3:$H$1002,'03_통합데이터'!$J$3:$J$1002,$B46,'03_통합데이터'!$A$3:$A$1002,"미디어커머스")</f>
        <v/>
      </c>
      <c r="D46" s="7">
        <f>SUMIFS('03_통합데이터'!$H$3:$H$1002,'03_통합데이터'!$J$3:$J$1002,$B46,'03_통합데이터'!$A$3:$A$1002,"브랜드커머스")</f>
        <v/>
      </c>
      <c r="E46" s="7">
        <f>SUMIFS('03_통합데이터'!$H$3:$H$1002,'03_통합데이터'!$J$3:$J$1002,$B46,'03_통합데이터'!$A$3:$A$1002,"해외제조")</f>
        <v/>
      </c>
      <c r="F46" s="7">
        <f>SUM(C46:E46)</f>
        <v/>
      </c>
      <c r="G46" s="7">
        <f>ROUND(F46/60,1)</f>
        <v/>
      </c>
      <c r="H46" s="7">
        <f>IF(C46&gt;0,1,0)+IF(D46&gt;0,1,0)+IF(E46&gt;0,1,0)</f>
        <v/>
      </c>
      <c r="I46" s="7">
        <f>COUNTIF('03_통합데이터'!$J$3:$J$1002,$B46)</f>
        <v/>
      </c>
      <c r="J46" s="6">
        <f>IF(H46&gt;=3,"◎ 3개팀 중복",IF(H46=2,"○ 2개팀 중복",IF(H46=1,"단독 수행","미기록")))</f>
        <v/>
      </c>
      <c r="K46" s="7">
        <f>IF(H46&gt;=2,ROUND(H46*G46,1),0)</f>
        <v/>
      </c>
    </row>
    <row r="47" ht="18" customHeight="1">
      <c r="A47" s="11" t="inlineStr">
        <is>
          <t>CS·물류·재고</t>
        </is>
      </c>
      <c r="B47" s="12" t="inlineStr">
        <is>
          <t>OPS-06 일일 주문 확인·처리</t>
        </is>
      </c>
      <c r="C47" s="7">
        <f>SUMIFS('03_통합데이터'!$H$3:$H$1002,'03_통합데이터'!$J$3:$J$1002,$B47,'03_통합데이터'!$A$3:$A$1002,"미디어커머스")</f>
        <v/>
      </c>
      <c r="D47" s="7">
        <f>SUMIFS('03_통합데이터'!$H$3:$H$1002,'03_통합데이터'!$J$3:$J$1002,$B47,'03_통합데이터'!$A$3:$A$1002,"브랜드커머스")</f>
        <v/>
      </c>
      <c r="E47" s="7">
        <f>SUMIFS('03_통합데이터'!$H$3:$H$1002,'03_통합데이터'!$J$3:$J$1002,$B47,'03_통합데이터'!$A$3:$A$1002,"해외제조")</f>
        <v/>
      </c>
      <c r="F47" s="7">
        <f>SUM(C47:E47)</f>
        <v/>
      </c>
      <c r="G47" s="7">
        <f>ROUND(F47/60,1)</f>
        <v/>
      </c>
      <c r="H47" s="7">
        <f>IF(C47&gt;0,1,0)+IF(D47&gt;0,1,0)+IF(E47&gt;0,1,0)</f>
        <v/>
      </c>
      <c r="I47" s="7">
        <f>COUNTIF('03_통합데이터'!$J$3:$J$1002,$B47)</f>
        <v/>
      </c>
      <c r="J47" s="6">
        <f>IF(H47&gt;=3,"◎ 3개팀 중복",IF(H47=2,"○ 2개팀 중복",IF(H47=1,"단독 수행","미기록")))</f>
        <v/>
      </c>
      <c r="K47" s="7">
        <f>IF(H47&gt;=2,ROUND(H47*G47,1),0)</f>
        <v/>
      </c>
    </row>
    <row r="48" ht="18" customHeight="1">
      <c r="A48" s="11" t="inlineStr">
        <is>
          <t>데이터·정산</t>
        </is>
      </c>
      <c r="B48" s="12" t="inlineStr">
        <is>
          <t>DAT-01 일/주 매출 데이터 집계</t>
        </is>
      </c>
      <c r="C48" s="7">
        <f>SUMIFS('03_통합데이터'!$H$3:$H$1002,'03_통합데이터'!$J$3:$J$1002,$B48,'03_통합데이터'!$A$3:$A$1002,"미디어커머스")</f>
        <v/>
      </c>
      <c r="D48" s="7">
        <f>SUMIFS('03_통합데이터'!$H$3:$H$1002,'03_통합데이터'!$J$3:$J$1002,$B48,'03_통합데이터'!$A$3:$A$1002,"브랜드커머스")</f>
        <v/>
      </c>
      <c r="E48" s="7">
        <f>SUMIFS('03_통합데이터'!$H$3:$H$1002,'03_통합데이터'!$J$3:$J$1002,$B48,'03_통합데이터'!$A$3:$A$1002,"해외제조")</f>
        <v/>
      </c>
      <c r="F48" s="7">
        <f>SUM(C48:E48)</f>
        <v/>
      </c>
      <c r="G48" s="7">
        <f>ROUND(F48/60,1)</f>
        <v/>
      </c>
      <c r="H48" s="7">
        <f>IF(C48&gt;0,1,0)+IF(D48&gt;0,1,0)+IF(E48&gt;0,1,0)</f>
        <v/>
      </c>
      <c r="I48" s="7">
        <f>COUNTIF('03_통합데이터'!$J$3:$J$1002,$B48)</f>
        <v/>
      </c>
      <c r="J48" s="6">
        <f>IF(H48&gt;=3,"◎ 3개팀 중복",IF(H48=2,"○ 2개팀 중복",IF(H48=1,"단독 수행","미기록")))</f>
        <v/>
      </c>
      <c r="K48" s="7">
        <f>IF(H48&gt;=2,ROUND(H48*G48,1),0)</f>
        <v/>
      </c>
    </row>
    <row r="49" ht="18" customHeight="1">
      <c r="A49" s="11" t="inlineStr">
        <is>
          <t>데이터·정산</t>
        </is>
      </c>
      <c r="B49" s="12" t="inlineStr">
        <is>
          <t>DAT-02 광고 ROAS·수익성 분석</t>
        </is>
      </c>
      <c r="C49" s="7">
        <f>SUMIFS('03_통합데이터'!$H$3:$H$1002,'03_통합데이터'!$J$3:$J$1002,$B49,'03_통합데이터'!$A$3:$A$1002,"미디어커머스")</f>
        <v/>
      </c>
      <c r="D49" s="7">
        <f>SUMIFS('03_통합데이터'!$H$3:$H$1002,'03_통합데이터'!$J$3:$J$1002,$B49,'03_통합데이터'!$A$3:$A$1002,"브랜드커머스")</f>
        <v/>
      </c>
      <c r="E49" s="7">
        <f>SUMIFS('03_통합데이터'!$H$3:$H$1002,'03_통합데이터'!$J$3:$J$1002,$B49,'03_통합데이터'!$A$3:$A$1002,"해외제조")</f>
        <v/>
      </c>
      <c r="F49" s="7">
        <f>SUM(C49:E49)</f>
        <v/>
      </c>
      <c r="G49" s="7">
        <f>ROUND(F49/60,1)</f>
        <v/>
      </c>
      <c r="H49" s="7">
        <f>IF(C49&gt;0,1,0)+IF(D49&gt;0,1,0)+IF(E49&gt;0,1,0)</f>
        <v/>
      </c>
      <c r="I49" s="7">
        <f>COUNTIF('03_통합데이터'!$J$3:$J$1002,$B49)</f>
        <v/>
      </c>
      <c r="J49" s="6">
        <f>IF(H49&gt;=3,"◎ 3개팀 중복",IF(H49=2,"○ 2개팀 중복",IF(H49=1,"단독 수행","미기록")))</f>
        <v/>
      </c>
      <c r="K49" s="7">
        <f>IF(H49&gt;=2,ROUND(H49*G49,1),0)</f>
        <v/>
      </c>
    </row>
    <row r="50" ht="18" customHeight="1">
      <c r="A50" s="11" t="inlineStr">
        <is>
          <t>데이터·정산</t>
        </is>
      </c>
      <c r="B50" s="12" t="inlineStr">
        <is>
          <t>DAT-03 채널별 정산·수수료 확인</t>
        </is>
      </c>
      <c r="C50" s="7">
        <f>SUMIFS('03_통합데이터'!$H$3:$H$1002,'03_통합데이터'!$J$3:$J$1002,$B50,'03_통합데이터'!$A$3:$A$1002,"미디어커머스")</f>
        <v/>
      </c>
      <c r="D50" s="7">
        <f>SUMIFS('03_통합데이터'!$H$3:$H$1002,'03_통합데이터'!$J$3:$J$1002,$B50,'03_통합데이터'!$A$3:$A$1002,"브랜드커머스")</f>
        <v/>
      </c>
      <c r="E50" s="7">
        <f>SUMIFS('03_통합데이터'!$H$3:$H$1002,'03_통합데이터'!$J$3:$J$1002,$B50,'03_통합데이터'!$A$3:$A$1002,"해외제조")</f>
        <v/>
      </c>
      <c r="F50" s="7">
        <f>SUM(C50:E50)</f>
        <v/>
      </c>
      <c r="G50" s="7">
        <f>ROUND(F50/60,1)</f>
        <v/>
      </c>
      <c r="H50" s="7">
        <f>IF(C50&gt;0,1,0)+IF(D50&gt;0,1,0)+IF(E50&gt;0,1,0)</f>
        <v/>
      </c>
      <c r="I50" s="7">
        <f>COUNTIF('03_통합데이터'!$J$3:$J$1002,$B50)</f>
        <v/>
      </c>
      <c r="J50" s="6">
        <f>IF(H50&gt;=3,"◎ 3개팀 중복",IF(H50=2,"○ 2개팀 중복",IF(H50=1,"단독 수행","미기록")))</f>
        <v/>
      </c>
      <c r="K50" s="7">
        <f>IF(H50&gt;=2,ROUND(H50*G50,1),0)</f>
        <v/>
      </c>
    </row>
    <row r="51" ht="18" customHeight="1">
      <c r="A51" s="11" t="inlineStr">
        <is>
          <t>데이터·정산</t>
        </is>
      </c>
      <c r="B51" s="12" t="inlineStr">
        <is>
          <t>DAT-04 리포트·대시보드 작성</t>
        </is>
      </c>
      <c r="C51" s="7">
        <f>SUMIFS('03_통합데이터'!$H$3:$H$1002,'03_통합데이터'!$J$3:$J$1002,$B51,'03_통합데이터'!$A$3:$A$1002,"미디어커머스")</f>
        <v/>
      </c>
      <c r="D51" s="7">
        <f>SUMIFS('03_통합데이터'!$H$3:$H$1002,'03_통합데이터'!$J$3:$J$1002,$B51,'03_통합데이터'!$A$3:$A$1002,"브랜드커머스")</f>
        <v/>
      </c>
      <c r="E51" s="7">
        <f>SUMIFS('03_통합데이터'!$H$3:$H$1002,'03_통합데이터'!$J$3:$J$1002,$B51,'03_통합데이터'!$A$3:$A$1002,"해외제조")</f>
        <v/>
      </c>
      <c r="F51" s="7">
        <f>SUM(C51:E51)</f>
        <v/>
      </c>
      <c r="G51" s="7">
        <f>ROUND(F51/60,1)</f>
        <v/>
      </c>
      <c r="H51" s="7">
        <f>IF(C51&gt;0,1,0)+IF(D51&gt;0,1,0)+IF(E51&gt;0,1,0)</f>
        <v/>
      </c>
      <c r="I51" s="7">
        <f>COUNTIF('03_통합데이터'!$J$3:$J$1002,$B51)</f>
        <v/>
      </c>
      <c r="J51" s="6">
        <f>IF(H51&gt;=3,"◎ 3개팀 중복",IF(H51=2,"○ 2개팀 중복",IF(H51=1,"단독 수행","미기록")))</f>
        <v/>
      </c>
      <c r="K51" s="7">
        <f>IF(H51&gt;=2,ROUND(H51*G51,1),0)</f>
        <v/>
      </c>
    </row>
    <row r="52" ht="18" customHeight="1">
      <c r="A52" s="11" t="inlineStr">
        <is>
          <t>데이터·정산</t>
        </is>
      </c>
      <c r="B52" s="12" t="inlineStr">
        <is>
          <t>DAT-05 손익(P&amp;L) 관리</t>
        </is>
      </c>
      <c r="C52" s="7">
        <f>SUMIFS('03_통합데이터'!$H$3:$H$1002,'03_통합데이터'!$J$3:$J$1002,$B52,'03_통합데이터'!$A$3:$A$1002,"미디어커머스")</f>
        <v/>
      </c>
      <c r="D52" s="7">
        <f>SUMIFS('03_통합데이터'!$H$3:$H$1002,'03_통합데이터'!$J$3:$J$1002,$B52,'03_통합데이터'!$A$3:$A$1002,"브랜드커머스")</f>
        <v/>
      </c>
      <c r="E52" s="7">
        <f>SUMIFS('03_통합데이터'!$H$3:$H$1002,'03_통합데이터'!$J$3:$J$1002,$B52,'03_통합데이터'!$A$3:$A$1002,"해외제조")</f>
        <v/>
      </c>
      <c r="F52" s="7">
        <f>SUM(C52:E52)</f>
        <v/>
      </c>
      <c r="G52" s="7">
        <f>ROUND(F52/60,1)</f>
        <v/>
      </c>
      <c r="H52" s="7">
        <f>IF(C52&gt;0,1,0)+IF(D52&gt;0,1,0)+IF(E52&gt;0,1,0)</f>
        <v/>
      </c>
      <c r="I52" s="7">
        <f>COUNTIF('03_통합데이터'!$J$3:$J$1002,$B52)</f>
        <v/>
      </c>
      <c r="J52" s="6">
        <f>IF(H52&gt;=3,"◎ 3개팀 중복",IF(H52=2,"○ 2개팀 중복",IF(H52=1,"단독 수행","미기록")))</f>
        <v/>
      </c>
      <c r="K52" s="7">
        <f>IF(H52&gt;=2,ROUND(H52*G52,1),0)</f>
        <v/>
      </c>
    </row>
    <row r="53" ht="18" customHeight="1">
      <c r="A53" s="11" t="inlineStr">
        <is>
          <t>기획·보고·회의</t>
        </is>
      </c>
      <c r="B53" s="12" t="inlineStr">
        <is>
          <t>MGT-01 팀 내부 회의</t>
        </is>
      </c>
      <c r="C53" s="7">
        <f>SUMIFS('03_통합데이터'!$H$3:$H$1002,'03_통합데이터'!$J$3:$J$1002,$B53,'03_통합데이터'!$A$3:$A$1002,"미디어커머스")</f>
        <v/>
      </c>
      <c r="D53" s="7">
        <f>SUMIFS('03_통합데이터'!$H$3:$H$1002,'03_통합데이터'!$J$3:$J$1002,$B53,'03_통합데이터'!$A$3:$A$1002,"브랜드커머스")</f>
        <v/>
      </c>
      <c r="E53" s="7">
        <f>SUMIFS('03_통합데이터'!$H$3:$H$1002,'03_통합데이터'!$J$3:$J$1002,$B53,'03_통합데이터'!$A$3:$A$1002,"해외제조")</f>
        <v/>
      </c>
      <c r="F53" s="7">
        <f>SUM(C53:E53)</f>
        <v/>
      </c>
      <c r="G53" s="7">
        <f>ROUND(F53/60,1)</f>
        <v/>
      </c>
      <c r="H53" s="7">
        <f>IF(C53&gt;0,1,0)+IF(D53&gt;0,1,0)+IF(E53&gt;0,1,0)</f>
        <v/>
      </c>
      <c r="I53" s="7">
        <f>COUNTIF('03_통합데이터'!$J$3:$J$1002,$B53)</f>
        <v/>
      </c>
      <c r="J53" s="6">
        <f>IF(H53&gt;=3,"◎ 3개팀 중복",IF(H53=2,"○ 2개팀 중복",IF(H53=1,"단독 수행","미기록")))</f>
        <v/>
      </c>
      <c r="K53" s="7">
        <f>IF(H53&gt;=2,ROUND(H53*G53,1),0)</f>
        <v/>
      </c>
    </row>
    <row r="54" ht="18" customHeight="1">
      <c r="A54" s="11" t="inlineStr">
        <is>
          <t>기획·보고·회의</t>
        </is>
      </c>
      <c r="B54" s="12" t="inlineStr">
        <is>
          <t>MGT-02 본부·전사 회의</t>
        </is>
      </c>
      <c r="C54" s="7">
        <f>SUMIFS('03_통합데이터'!$H$3:$H$1002,'03_통합데이터'!$J$3:$J$1002,$B54,'03_통합데이터'!$A$3:$A$1002,"미디어커머스")</f>
        <v/>
      </c>
      <c r="D54" s="7">
        <f>SUMIFS('03_통합데이터'!$H$3:$H$1002,'03_통합데이터'!$J$3:$J$1002,$B54,'03_통합데이터'!$A$3:$A$1002,"브랜드커머스")</f>
        <v/>
      </c>
      <c r="E54" s="7">
        <f>SUMIFS('03_통합데이터'!$H$3:$H$1002,'03_통합데이터'!$J$3:$J$1002,$B54,'03_통합데이터'!$A$3:$A$1002,"해외제조")</f>
        <v/>
      </c>
      <c r="F54" s="7">
        <f>SUM(C54:E54)</f>
        <v/>
      </c>
      <c r="G54" s="7">
        <f>ROUND(F54/60,1)</f>
        <v/>
      </c>
      <c r="H54" s="7">
        <f>IF(C54&gt;0,1,0)+IF(D54&gt;0,1,0)+IF(E54&gt;0,1,0)</f>
        <v/>
      </c>
      <c r="I54" s="7">
        <f>COUNTIF('03_통합데이터'!$J$3:$J$1002,$B54)</f>
        <v/>
      </c>
      <c r="J54" s="6">
        <f>IF(H54&gt;=3,"◎ 3개팀 중복",IF(H54=2,"○ 2개팀 중복",IF(H54=1,"단독 수행","미기록")))</f>
        <v/>
      </c>
      <c r="K54" s="7">
        <f>IF(H54&gt;=2,ROUND(H54*G54,1),0)</f>
        <v/>
      </c>
    </row>
    <row r="55" ht="18" customHeight="1">
      <c r="A55" s="11" t="inlineStr">
        <is>
          <t>기획·보고·회의</t>
        </is>
      </c>
      <c r="B55" s="12" t="inlineStr">
        <is>
          <t>MGT-03 타 팀 협업 회의</t>
        </is>
      </c>
      <c r="C55" s="7">
        <f>SUMIFS('03_통합데이터'!$H$3:$H$1002,'03_통합데이터'!$J$3:$J$1002,$B55,'03_통합데이터'!$A$3:$A$1002,"미디어커머스")</f>
        <v/>
      </c>
      <c r="D55" s="7">
        <f>SUMIFS('03_통합데이터'!$H$3:$H$1002,'03_통합데이터'!$J$3:$J$1002,$B55,'03_통합데이터'!$A$3:$A$1002,"브랜드커머스")</f>
        <v/>
      </c>
      <c r="E55" s="7">
        <f>SUMIFS('03_통합데이터'!$H$3:$H$1002,'03_통합데이터'!$J$3:$J$1002,$B55,'03_통합데이터'!$A$3:$A$1002,"해외제조")</f>
        <v/>
      </c>
      <c r="F55" s="7">
        <f>SUM(C55:E55)</f>
        <v/>
      </c>
      <c r="G55" s="7">
        <f>ROUND(F55/60,1)</f>
        <v/>
      </c>
      <c r="H55" s="7">
        <f>IF(C55&gt;0,1,0)+IF(D55&gt;0,1,0)+IF(E55&gt;0,1,0)</f>
        <v/>
      </c>
      <c r="I55" s="7">
        <f>COUNTIF('03_통합데이터'!$J$3:$J$1002,$B55)</f>
        <v/>
      </c>
      <c r="J55" s="6">
        <f>IF(H55&gt;=3,"◎ 3개팀 중복",IF(H55=2,"○ 2개팀 중복",IF(H55=1,"단독 수행","미기록")))</f>
        <v/>
      </c>
      <c r="K55" s="7">
        <f>IF(H55&gt;=2,ROUND(H55*G55,1),0)</f>
        <v/>
      </c>
    </row>
    <row r="56" ht="18" customHeight="1">
      <c r="A56" s="11" t="inlineStr">
        <is>
          <t>기획·보고·회의</t>
        </is>
      </c>
      <c r="B56" s="12" t="inlineStr">
        <is>
          <t>MGT-04 상급자 보고·결재</t>
        </is>
      </c>
      <c r="C56" s="7">
        <f>SUMIFS('03_통합데이터'!$H$3:$H$1002,'03_통합데이터'!$J$3:$J$1002,$B56,'03_통합데이터'!$A$3:$A$1002,"미디어커머스")</f>
        <v/>
      </c>
      <c r="D56" s="7">
        <f>SUMIFS('03_통합데이터'!$H$3:$H$1002,'03_통합데이터'!$J$3:$J$1002,$B56,'03_통합데이터'!$A$3:$A$1002,"브랜드커머스")</f>
        <v/>
      </c>
      <c r="E56" s="7">
        <f>SUMIFS('03_통합데이터'!$H$3:$H$1002,'03_통합데이터'!$J$3:$J$1002,$B56,'03_통합데이터'!$A$3:$A$1002,"해외제조")</f>
        <v/>
      </c>
      <c r="F56" s="7">
        <f>SUM(C56:E56)</f>
        <v/>
      </c>
      <c r="G56" s="7">
        <f>ROUND(F56/60,1)</f>
        <v/>
      </c>
      <c r="H56" s="7">
        <f>IF(C56&gt;0,1,0)+IF(D56&gt;0,1,0)+IF(E56&gt;0,1,0)</f>
        <v/>
      </c>
      <c r="I56" s="7">
        <f>COUNTIF('03_통합데이터'!$J$3:$J$1002,$B56)</f>
        <v/>
      </c>
      <c r="J56" s="6">
        <f>IF(H56&gt;=3,"◎ 3개팀 중복",IF(H56=2,"○ 2개팀 중복",IF(H56=1,"단독 수행","미기록")))</f>
        <v/>
      </c>
      <c r="K56" s="7">
        <f>IF(H56&gt;=2,ROUND(H56*G56,1),0)</f>
        <v/>
      </c>
    </row>
    <row r="57" ht="18" customHeight="1">
      <c r="A57" s="11" t="inlineStr">
        <is>
          <t>기획·보고·회의</t>
        </is>
      </c>
      <c r="B57" s="12" t="inlineStr">
        <is>
          <t>MGT-05 기획안·제안서 작성</t>
        </is>
      </c>
      <c r="C57" s="7">
        <f>SUMIFS('03_통합데이터'!$H$3:$H$1002,'03_통합데이터'!$J$3:$J$1002,$B57,'03_통합데이터'!$A$3:$A$1002,"미디어커머스")</f>
        <v/>
      </c>
      <c r="D57" s="7">
        <f>SUMIFS('03_통합데이터'!$H$3:$H$1002,'03_통합데이터'!$J$3:$J$1002,$B57,'03_통합데이터'!$A$3:$A$1002,"브랜드커머스")</f>
        <v/>
      </c>
      <c r="E57" s="7">
        <f>SUMIFS('03_통합데이터'!$H$3:$H$1002,'03_통합데이터'!$J$3:$J$1002,$B57,'03_통합데이터'!$A$3:$A$1002,"해외제조")</f>
        <v/>
      </c>
      <c r="F57" s="7">
        <f>SUM(C57:E57)</f>
        <v/>
      </c>
      <c r="G57" s="7">
        <f>ROUND(F57/60,1)</f>
        <v/>
      </c>
      <c r="H57" s="7">
        <f>IF(C57&gt;0,1,0)+IF(D57&gt;0,1,0)+IF(E57&gt;0,1,0)</f>
        <v/>
      </c>
      <c r="I57" s="7">
        <f>COUNTIF('03_통합데이터'!$J$3:$J$1002,$B57)</f>
        <v/>
      </c>
      <c r="J57" s="6">
        <f>IF(H57&gt;=3,"◎ 3개팀 중복",IF(H57=2,"○ 2개팀 중복",IF(H57=1,"단독 수행","미기록")))</f>
        <v/>
      </c>
      <c r="K57" s="7">
        <f>IF(H57&gt;=2,ROUND(H57*G57,1),0)</f>
        <v/>
      </c>
    </row>
    <row r="58" ht="18" customHeight="1">
      <c r="A58" s="11" t="inlineStr">
        <is>
          <t>기획·보고·회의</t>
        </is>
      </c>
      <c r="B58" s="12" t="inlineStr">
        <is>
          <t>MGT-06 팀원 업무·산출물 검토·피드백</t>
        </is>
      </c>
      <c r="C58" s="7">
        <f>SUMIFS('03_통합데이터'!$H$3:$H$1002,'03_통합데이터'!$J$3:$J$1002,$B58,'03_통합데이터'!$A$3:$A$1002,"미디어커머스")</f>
        <v/>
      </c>
      <c r="D58" s="7">
        <f>SUMIFS('03_통합데이터'!$H$3:$H$1002,'03_통합데이터'!$J$3:$J$1002,$B58,'03_통합데이터'!$A$3:$A$1002,"브랜드커머스")</f>
        <v/>
      </c>
      <c r="E58" s="7">
        <f>SUMIFS('03_통합데이터'!$H$3:$H$1002,'03_통합데이터'!$J$3:$J$1002,$B58,'03_통합데이터'!$A$3:$A$1002,"해외제조")</f>
        <v/>
      </c>
      <c r="F58" s="7">
        <f>SUM(C58:E58)</f>
        <v/>
      </c>
      <c r="G58" s="7">
        <f>ROUND(F58/60,1)</f>
        <v/>
      </c>
      <c r="H58" s="7">
        <f>IF(C58&gt;0,1,0)+IF(D58&gt;0,1,0)+IF(E58&gt;0,1,0)</f>
        <v/>
      </c>
      <c r="I58" s="7">
        <f>COUNTIF('03_통합데이터'!$J$3:$J$1002,$B58)</f>
        <v/>
      </c>
      <c r="J58" s="6">
        <f>IF(H58&gt;=3,"◎ 3개팀 중복",IF(H58=2,"○ 2개팀 중복",IF(H58=1,"단독 수행","미기록")))</f>
        <v/>
      </c>
      <c r="K58" s="7">
        <f>IF(H58&gt;=2,ROUND(H58*G58,1),0)</f>
        <v/>
      </c>
    </row>
    <row r="59">
      <c r="A59" s="11" t="inlineStr">
        <is>
          <t>기획·보고·회의</t>
        </is>
      </c>
      <c r="B59" s="12" t="inlineStr">
        <is>
          <t>MGT-07 업무 인수인계·이관</t>
        </is>
      </c>
      <c r="C59" s="7">
        <f>SUMIFS('03_통합데이터'!$H$3:$H$1002,'03_통합데이터'!$J$3:$J$1002,$B59,'03_통합데이터'!$A$3:$A$1002,"미디어커머스")</f>
        <v/>
      </c>
      <c r="D59" s="7">
        <f>SUMIFS('03_통합데이터'!$H$3:$H$1002,'03_통합데이터'!$J$3:$J$1002,$B59,'03_통합데이터'!$A$3:$A$1002,"브랜드커머스")</f>
        <v/>
      </c>
      <c r="E59" s="7">
        <f>SUMIFS('03_통합데이터'!$H$3:$H$1002,'03_통합데이터'!$J$3:$J$1002,$B59,'03_통합데이터'!$A$3:$A$1002,"해외제조")</f>
        <v/>
      </c>
      <c r="F59" s="7">
        <f>SUM(C59:E59)</f>
        <v/>
      </c>
      <c r="G59" s="7">
        <f>ROUND(F59/60,1)</f>
        <v/>
      </c>
      <c r="H59" s="7">
        <f>IF(C59&gt;0,1,0)+IF(D59&gt;0,1,0)+IF(E59&gt;0,1,0)</f>
        <v/>
      </c>
      <c r="I59" s="7">
        <f>COUNTIF('03_통합데이터'!$J$3:$J$1002,$B59)</f>
        <v/>
      </c>
      <c r="J59" s="6">
        <f>IF(H59&gt;=3,"◎ 3개팀 중복",IF(H59=2,"○ 2개팀 중복",IF(H59=1,"단독 수행","미기록")))</f>
        <v/>
      </c>
      <c r="K59" s="7">
        <f>IF(H59&gt;=2,ROUND(H59*G59,1),0)</f>
        <v/>
      </c>
    </row>
    <row r="60">
      <c r="A60" s="11" t="inlineStr">
        <is>
          <t>사내시스템·자동화</t>
        </is>
      </c>
      <c r="B60" s="12" t="inlineStr">
        <is>
          <t>SYS-01 사내 시스템·앱 기획/개선 요청</t>
        </is>
      </c>
      <c r="C60" s="7">
        <f>SUMIFS('03_통합데이터'!$H$3:$H$1002,'03_통합데이터'!$J$3:$J$1002,$B60,'03_통합데이터'!$A$3:$A$1002,"미디어커머스")</f>
        <v/>
      </c>
      <c r="D60" s="7">
        <f>SUMIFS('03_통합데이터'!$H$3:$H$1002,'03_통합데이터'!$J$3:$J$1002,$B60,'03_통합데이터'!$A$3:$A$1002,"브랜드커머스")</f>
        <v/>
      </c>
      <c r="E60" s="7">
        <f>SUMIFS('03_통합데이터'!$H$3:$H$1002,'03_통합데이터'!$J$3:$J$1002,$B60,'03_통합데이터'!$A$3:$A$1002,"해외제조")</f>
        <v/>
      </c>
      <c r="F60" s="7">
        <f>SUM(C60:E60)</f>
        <v/>
      </c>
      <c r="G60" s="7">
        <f>ROUND(F60/60,1)</f>
        <v/>
      </c>
      <c r="H60" s="7">
        <f>IF(C60&gt;0,1,0)+IF(D60&gt;0,1,0)+IF(E60&gt;0,1,0)</f>
        <v/>
      </c>
      <c r="I60" s="7">
        <f>COUNTIF('03_통합데이터'!$J$3:$J$1002,$B60)</f>
        <v/>
      </c>
      <c r="J60" s="6">
        <f>IF(H60&gt;=3,"◎ 3개팀 중복",IF(H60=2,"○ 2개팀 중복",IF(H60=1,"단독 수행","미기록")))</f>
        <v/>
      </c>
      <c r="K60" s="7">
        <f>IF(H60&gt;=2,ROUND(H60*G60,1),0)</f>
        <v/>
      </c>
    </row>
    <row r="61" ht="16.5" customHeight="1">
      <c r="A61" s="11" t="inlineStr">
        <is>
          <t>파트너·대리점관리</t>
        </is>
      </c>
      <c r="B61" s="12" t="inlineStr">
        <is>
          <t>PTR-01 대리점·파트너사 방문·미팅</t>
        </is>
      </c>
      <c r="C61" s="7">
        <f>SUMIFS('03_통합데이터'!$H$3:$H$1002,'03_통합데이터'!$J$3:$J$1002,$B61,'03_통합데이터'!$A$3:$A$1002,"미디어커머스")</f>
        <v/>
      </c>
      <c r="D61" s="7">
        <f>SUMIFS('03_통합데이터'!$H$3:$H$1002,'03_통합데이터'!$J$3:$J$1002,$B61,'03_통합데이터'!$A$3:$A$1002,"브랜드커머스")</f>
        <v/>
      </c>
      <c r="E61" s="7">
        <f>SUMIFS('03_통합데이터'!$H$3:$H$1002,'03_통합데이터'!$J$3:$J$1002,$B61,'03_통합데이터'!$A$3:$A$1002,"해외제조")</f>
        <v/>
      </c>
      <c r="F61" s="7">
        <f>SUM(C61:E61)</f>
        <v/>
      </c>
      <c r="G61" s="7">
        <f>ROUND(F61/60,1)</f>
        <v/>
      </c>
      <c r="H61" s="7">
        <f>IF(C61&gt;0,1,0)+IF(D61&gt;0,1,0)+IF(E61&gt;0,1,0)</f>
        <v/>
      </c>
      <c r="I61" s="7">
        <f>COUNTIF('03_통합데이터'!$J$3:$J$1002,$B61)</f>
        <v/>
      </c>
      <c r="J61" s="6">
        <f>IF(H61&gt;=3,"◎ 3개팀 중복",IF(H61=2,"○ 2개팀 중복",IF(H61=1,"단독 수행","미기록")))</f>
        <v/>
      </c>
      <c r="K61" s="7">
        <f>IF(H61&gt;=2,ROUND(H61*G61,1),0)</f>
        <v/>
      </c>
    </row>
    <row r="62" ht="26.25" customHeight="1">
      <c r="A62" s="11" t="inlineStr">
        <is>
          <t>파트너·대리점관리</t>
        </is>
      </c>
      <c r="B62" s="12" t="inlineStr">
        <is>
          <t>PTR-02 대리점·파트너 인터뷰·VOC 수집</t>
        </is>
      </c>
      <c r="C62" s="7">
        <f>SUMIFS('03_통합데이터'!$H$3:$H$1002,'03_통합데이터'!$J$3:$J$1002,$B62,'03_통합데이터'!$A$3:$A$1002,"미디어커머스")</f>
        <v/>
      </c>
      <c r="D62" s="7">
        <f>SUMIFS('03_통합데이터'!$H$3:$H$1002,'03_통합데이터'!$J$3:$J$1002,$B62,'03_통합데이터'!$A$3:$A$1002,"브랜드커머스")</f>
        <v/>
      </c>
      <c r="E62" s="7">
        <f>SUMIFS('03_통합데이터'!$H$3:$H$1002,'03_통합데이터'!$J$3:$J$1002,$B62,'03_통합데이터'!$A$3:$A$1002,"해외제조")</f>
        <v/>
      </c>
      <c r="F62" s="7">
        <f>SUM(C62:E62)</f>
        <v/>
      </c>
      <c r="G62" s="7">
        <f>ROUND(F62/60,1)</f>
        <v/>
      </c>
      <c r="H62" s="7">
        <f>IF(C62&gt;0,1,0)+IF(D62&gt;0,1,0)+IF(E62&gt;0,1,0)</f>
        <v/>
      </c>
      <c r="I62" s="7">
        <f>COUNTIF('03_통합데이터'!$J$3:$J$1002,$B62)</f>
        <v/>
      </c>
      <c r="J62" s="6">
        <f>IF(H62&gt;=3,"◎ 3개팀 중복",IF(H62=2,"○ 2개팀 중복",IF(H62=1,"단독 수행","미기록")))</f>
        <v/>
      </c>
      <c r="K62" s="7">
        <f>IF(H62&gt;=2,ROUND(H62*G62,1),0)</f>
        <v/>
      </c>
    </row>
    <row r="63">
      <c r="A63" s="11" t="inlineStr">
        <is>
          <t>기타·행정</t>
        </is>
      </c>
      <c r="B63" s="12" t="inlineStr">
        <is>
          <t>ETC-01 메일·메신저 확인 및 회신</t>
        </is>
      </c>
      <c r="C63" s="7">
        <f>SUMIFS('03_통합데이터'!$H$3:$H$1002,'03_통합데이터'!$J$3:$J$1002,$B63,'03_통합데이터'!$A$3:$A$1002,"미디어커머스")</f>
        <v/>
      </c>
      <c r="D63" s="7">
        <f>SUMIFS('03_통합데이터'!$H$3:$H$1002,'03_통합데이터'!$J$3:$J$1002,$B63,'03_통합데이터'!$A$3:$A$1002,"브랜드커머스")</f>
        <v/>
      </c>
      <c r="E63" s="7">
        <f>SUMIFS('03_통합데이터'!$H$3:$H$1002,'03_통합데이터'!$J$3:$J$1002,$B63,'03_통합데이터'!$A$3:$A$1002,"해외제조")</f>
        <v/>
      </c>
      <c r="F63" s="7">
        <f>SUM(C63:E63)</f>
        <v/>
      </c>
      <c r="G63" s="7">
        <f>ROUND(F63/60,1)</f>
        <v/>
      </c>
      <c r="H63" s="7">
        <f>IF(C63&gt;0,1,0)+IF(D63&gt;0,1,0)+IF(E63&gt;0,1,0)</f>
        <v/>
      </c>
      <c r="I63" s="7">
        <f>COUNTIF('03_통합데이터'!$J$3:$J$1002,$B63)</f>
        <v/>
      </c>
      <c r="J63" s="6">
        <f>IF(H63&gt;=3,"◎ 3개팀 중복",IF(H63=2,"○ 2개팀 중복",IF(H63=1,"단독 수행","미기록")))</f>
        <v/>
      </c>
      <c r="K63" s="7">
        <f>IF(H63&gt;=2,ROUND(H63*G63,1),0)</f>
        <v/>
      </c>
    </row>
    <row r="64">
      <c r="A64" s="11" t="inlineStr">
        <is>
          <t>기타·행정</t>
        </is>
      </c>
      <c r="B64" s="12" t="inlineStr">
        <is>
          <t>ETC-02 행정·경비·구매 처리</t>
        </is>
      </c>
      <c r="C64" s="7">
        <f>SUMIFS('03_통합데이터'!$H$3:$H$1002,'03_통합데이터'!$J$3:$J$1002,$B64,'03_통합데이터'!$A$3:$A$1002,"미디어커머스")</f>
        <v/>
      </c>
      <c r="D64" s="7">
        <f>SUMIFS('03_통합데이터'!$H$3:$H$1002,'03_통합데이터'!$J$3:$J$1002,$B64,'03_통합데이터'!$A$3:$A$1002,"브랜드커머스")</f>
        <v/>
      </c>
      <c r="E64" s="7">
        <f>SUMIFS('03_통합데이터'!$H$3:$H$1002,'03_통합데이터'!$J$3:$J$1002,$B64,'03_통합데이터'!$A$3:$A$1002,"해외제조")</f>
        <v/>
      </c>
      <c r="F64" s="7">
        <f>SUM(C64:E64)</f>
        <v/>
      </c>
      <c r="G64" s="7">
        <f>ROUND(F64/60,1)</f>
        <v/>
      </c>
      <c r="H64" s="7">
        <f>IF(C64&gt;0,1,0)+IF(D64&gt;0,1,0)+IF(E64&gt;0,1,0)</f>
        <v/>
      </c>
      <c r="I64" s="7">
        <f>COUNTIF('03_통합데이터'!$J$3:$J$1002,$B64)</f>
        <v/>
      </c>
      <c r="J64" s="6">
        <f>IF(H64&gt;=3,"◎ 3개팀 중복",IF(H64=2,"○ 2개팀 중복",IF(H64=1,"단독 수행","미기록")))</f>
        <v/>
      </c>
      <c r="K64" s="7">
        <f>IF(H64&gt;=2,ROUND(H64*G64,1),0)</f>
        <v/>
      </c>
    </row>
    <row r="65">
      <c r="A65" s="11" t="inlineStr">
        <is>
          <t>기타·행정</t>
        </is>
      </c>
      <c r="B65" s="12" t="inlineStr">
        <is>
          <t>ETC-03 채용·교육·인사</t>
        </is>
      </c>
      <c r="C65" s="7">
        <f>SUMIFS('03_통합데이터'!$H$3:$H$1002,'03_통합데이터'!$J$3:$J$1002,$B65,'03_통합데이터'!$A$3:$A$1002,"미디어커머스")</f>
        <v/>
      </c>
      <c r="D65" s="7">
        <f>SUMIFS('03_통합데이터'!$H$3:$H$1002,'03_통합데이터'!$J$3:$J$1002,$B65,'03_통합데이터'!$A$3:$A$1002,"브랜드커머스")</f>
        <v/>
      </c>
      <c r="E65" s="7">
        <f>SUMIFS('03_통합데이터'!$H$3:$H$1002,'03_통합데이터'!$J$3:$J$1002,$B65,'03_통합데이터'!$A$3:$A$1002,"해외제조")</f>
        <v/>
      </c>
      <c r="F65" s="7">
        <f>SUM(C65:E65)</f>
        <v/>
      </c>
      <c r="G65" s="7">
        <f>ROUND(F65/60,1)</f>
        <v/>
      </c>
      <c r="H65" s="7">
        <f>IF(C65&gt;0,1,0)+IF(D65&gt;0,1,0)+IF(E65&gt;0,1,0)</f>
        <v/>
      </c>
      <c r="I65" s="7">
        <f>COUNTIF('03_통합데이터'!$J$3:$J$1002,$B65)</f>
        <v/>
      </c>
      <c r="J65" s="6">
        <f>IF(H65&gt;=3,"◎ 3개팀 중복",IF(H65=2,"○ 2개팀 중복",IF(H65=1,"단독 수행","미기록")))</f>
        <v/>
      </c>
      <c r="K65" s="7">
        <f>IF(H65&gt;=2,ROUND(H65*G65,1),0)</f>
        <v/>
      </c>
    </row>
    <row r="66">
      <c r="A66" s="11" t="inlineStr">
        <is>
          <t>기타·행정</t>
        </is>
      </c>
      <c r="B66" s="12" t="inlineStr">
        <is>
          <t>ETC-04 이동·외근</t>
        </is>
      </c>
      <c r="C66" s="7">
        <f>SUMIFS('03_통합데이터'!$H$3:$H$1002,'03_통합데이터'!$J$3:$J$1002,$B66,'03_통합데이터'!$A$3:$A$1002,"미디어커머스")</f>
        <v/>
      </c>
      <c r="D66" s="7">
        <f>SUMIFS('03_통합데이터'!$H$3:$H$1002,'03_통합데이터'!$J$3:$J$1002,$B66,'03_통합데이터'!$A$3:$A$1002,"브랜드커머스")</f>
        <v/>
      </c>
      <c r="E66" s="7">
        <f>SUMIFS('03_통합데이터'!$H$3:$H$1002,'03_통합데이터'!$J$3:$J$1002,$B66,'03_통합데이터'!$A$3:$A$1002,"해외제조")</f>
        <v/>
      </c>
      <c r="F66" s="7">
        <f>SUM(C66:E66)</f>
        <v/>
      </c>
      <c r="G66" s="7">
        <f>ROUND(F66/60,1)</f>
        <v/>
      </c>
      <c r="H66" s="7">
        <f>IF(C66&gt;0,1,0)+IF(D66&gt;0,1,0)+IF(E66&gt;0,1,0)</f>
        <v/>
      </c>
      <c r="I66" s="7">
        <f>COUNTIF('03_통합데이터'!$J$3:$J$1002,$B66)</f>
        <v/>
      </c>
      <c r="J66" s="6">
        <f>IF(H66&gt;=3,"◎ 3개팀 중복",IF(H66=2,"○ 2개팀 중복",IF(H66=1,"단독 수행","미기록")))</f>
        <v/>
      </c>
      <c r="K66" s="7">
        <f>IF(H66&gt;=2,ROUND(H66*G66,1),0)</f>
        <v/>
      </c>
    </row>
    <row r="67">
      <c r="A67" s="11" t="inlineStr">
        <is>
          <t>기타·행정</t>
        </is>
      </c>
      <c r="B67" s="12" t="inlineStr">
        <is>
          <t>ETC-05 휴게·점심</t>
        </is>
      </c>
      <c r="C67" s="7">
        <f>SUMIFS('03_통합데이터'!$H$3:$H$1002,'03_통합데이터'!$J$3:$J$1002,$B67,'03_통합데이터'!$A$3:$A$1002,"미디어커머스")</f>
        <v/>
      </c>
      <c r="D67" s="7">
        <f>SUMIFS('03_통합데이터'!$H$3:$H$1002,'03_통합데이터'!$J$3:$J$1002,$B67,'03_통합데이터'!$A$3:$A$1002,"브랜드커머스")</f>
        <v/>
      </c>
      <c r="E67" s="7">
        <f>SUMIFS('03_통합데이터'!$H$3:$H$1002,'03_통합데이터'!$J$3:$J$1002,$B67,'03_통합데이터'!$A$3:$A$1002,"해외제조")</f>
        <v/>
      </c>
      <c r="F67" s="7">
        <f>SUM(C67:E67)</f>
        <v/>
      </c>
      <c r="G67" s="7">
        <f>ROUND(F67/60,1)</f>
        <v/>
      </c>
      <c r="H67" s="7">
        <f>IF(C67&gt;0,1,0)+IF(D67&gt;0,1,0)+IF(E67&gt;0,1,0)</f>
        <v/>
      </c>
      <c r="I67" s="7">
        <f>COUNTIF('03_통합데이터'!$J$3:$J$1002,$B67)</f>
        <v/>
      </c>
      <c r="J67" s="6">
        <f>IF(H67&gt;=3,"◎ 3개팀 중복",IF(H67=2,"○ 2개팀 중복",IF(H67=1,"단독 수행","미기록")))</f>
        <v/>
      </c>
      <c r="K67" s="7">
        <f>IF(H67&gt;=2,ROUND(H67*G67,1),0)</f>
        <v/>
      </c>
    </row>
    <row r="68"/>
    <row r="69"/>
    <row r="70">
      <c r="A70" s="38" t="inlineStr">
        <is>
          <t>▣ 업무 대분류별 팀 투입 비교 (어느 영역이 겹치는지 한눈에)</t>
        </is>
      </c>
    </row>
    <row r="71">
      <c r="A71" s="4" t="inlineStr">
        <is>
          <t>업무 대분류</t>
        </is>
      </c>
      <c r="B71" s="4" t="inlineStr">
        <is>
          <t>미디어커머스(h)</t>
        </is>
      </c>
      <c r="C71" s="4" t="inlineStr">
        <is>
          <t>브랜드커머스(h)</t>
        </is>
      </c>
      <c r="D71" s="4" t="inlineStr">
        <is>
          <t>해외제조(h)</t>
        </is>
      </c>
      <c r="E71" s="4" t="inlineStr">
        <is>
          <t>합계(h)</t>
        </is>
      </c>
      <c r="F71" s="4" t="inlineStr">
        <is>
          <t>수행 팀수</t>
        </is>
      </c>
      <c r="G71" s="4" t="inlineStr">
        <is>
          <t>판정</t>
        </is>
      </c>
    </row>
    <row r="72">
      <c r="A72" s="13" t="inlineStr">
        <is>
          <t>상품기획·소싱</t>
        </is>
      </c>
      <c r="B72" s="7">
        <f>ROUND(SUMIFS('03_통합데이터'!$H$3:$H$1002,'03_통합데이터'!$I$3:$I$1002,$A72,'03_통합데이터'!$A$3:$A$1002,"미디어커머스")/60,1)</f>
        <v/>
      </c>
      <c r="C72" s="7">
        <f>ROUND(SUMIFS('03_통합데이터'!$H$3:$H$1002,'03_통합데이터'!$I$3:$I$1002,$A72,'03_통합데이터'!$A$3:$A$1002,"브랜드커머스")/60,1)</f>
        <v/>
      </c>
      <c r="D72" s="7">
        <f>ROUND(SUMIFS('03_통합데이터'!$H$3:$H$1002,'03_통합데이터'!$I$3:$I$1002,$A72,'03_통합데이터'!$A$3:$A$1002,"해외제조")/60,1)</f>
        <v/>
      </c>
      <c r="E72" s="7">
        <f>ROUND(SUM(B72:D72),1)</f>
        <v/>
      </c>
      <c r="F72" s="7">
        <f>IF(B72&gt;0,1,0)+IF(C72&gt;0,1,0)+IF(D72&gt;0,1,0)</f>
        <v/>
      </c>
      <c r="G72" s="6">
        <f>IF(F72&gt;=3,"◎ 전팀 수행",IF(F72=2,"○ 2개팀",""))</f>
        <v/>
      </c>
    </row>
    <row r="73">
      <c r="A73" s="13" t="inlineStr">
        <is>
          <t>제조·생산관리</t>
        </is>
      </c>
      <c r="B73" s="7">
        <f>ROUND(SUMIFS('03_통합데이터'!$H$3:$H$1002,'03_통합데이터'!$I$3:$I$1002,$A73,'03_통합데이터'!$A$3:$A$1002,"미디어커머스")/60,1)</f>
        <v/>
      </c>
      <c r="C73" s="7">
        <f>ROUND(SUMIFS('03_통합데이터'!$H$3:$H$1002,'03_통합데이터'!$I$3:$I$1002,$A73,'03_통합데이터'!$A$3:$A$1002,"브랜드커머스")/60,1)</f>
        <v/>
      </c>
      <c r="D73" s="7">
        <f>ROUND(SUMIFS('03_통합데이터'!$H$3:$H$1002,'03_통합데이터'!$I$3:$I$1002,$A73,'03_통합데이터'!$A$3:$A$1002,"해외제조")/60,1)</f>
        <v/>
      </c>
      <c r="E73" s="7">
        <f>ROUND(SUM(B73:D73),1)</f>
        <v/>
      </c>
      <c r="F73" s="7">
        <f>IF(B73&gt;0,1,0)+IF(C73&gt;0,1,0)+IF(D73&gt;0,1,0)</f>
        <v/>
      </c>
      <c r="G73" s="6">
        <f>IF(F73&gt;=3,"◎ 전팀 수행",IF(F73=2,"○ 2개팀",""))</f>
        <v/>
      </c>
    </row>
    <row r="74">
      <c r="A74" s="13" t="inlineStr">
        <is>
          <t>마케팅·광고운영</t>
        </is>
      </c>
      <c r="B74" s="7">
        <f>ROUND(SUMIFS('03_통합데이터'!$H$3:$H$1002,'03_통합데이터'!$I$3:$I$1002,$A74,'03_통합데이터'!$A$3:$A$1002,"미디어커머스")/60,1)</f>
        <v/>
      </c>
      <c r="C74" s="7">
        <f>ROUND(SUMIFS('03_통합데이터'!$H$3:$H$1002,'03_통합데이터'!$I$3:$I$1002,$A74,'03_통합데이터'!$A$3:$A$1002,"브랜드커머스")/60,1)</f>
        <v/>
      </c>
      <c r="D74" s="7">
        <f>ROUND(SUMIFS('03_통합데이터'!$H$3:$H$1002,'03_통합데이터'!$I$3:$I$1002,$A74,'03_통합데이터'!$A$3:$A$1002,"해외제조")/60,1)</f>
        <v/>
      </c>
      <c r="E74" s="7">
        <f>ROUND(SUM(B74:D74),1)</f>
        <v/>
      </c>
      <c r="F74" s="7">
        <f>IF(B74&gt;0,1,0)+IF(C74&gt;0,1,0)+IF(D74&gt;0,1,0)</f>
        <v/>
      </c>
      <c r="G74" s="6">
        <f>IF(F74&gt;=3,"◎ 전팀 수행",IF(F74=2,"○ 2개팀",""))</f>
        <v/>
      </c>
    </row>
    <row r="75">
      <c r="A75" s="13" t="inlineStr">
        <is>
          <t>콘텐츠제작</t>
        </is>
      </c>
      <c r="B75" s="7">
        <f>ROUND(SUMIFS('03_통합데이터'!$H$3:$H$1002,'03_통합데이터'!$I$3:$I$1002,$A75,'03_통합데이터'!$A$3:$A$1002,"미디어커머스")/60,1)</f>
        <v/>
      </c>
      <c r="C75" s="7">
        <f>ROUND(SUMIFS('03_통합데이터'!$H$3:$H$1002,'03_통합데이터'!$I$3:$I$1002,$A75,'03_통합데이터'!$A$3:$A$1002,"브랜드커머스")/60,1)</f>
        <v/>
      </c>
      <c r="D75" s="7">
        <f>ROUND(SUMIFS('03_통합데이터'!$H$3:$H$1002,'03_통합데이터'!$I$3:$I$1002,$A75,'03_통합데이터'!$A$3:$A$1002,"해외제조")/60,1)</f>
        <v/>
      </c>
      <c r="E75" s="7">
        <f>ROUND(SUM(B75:D75),1)</f>
        <v/>
      </c>
      <c r="F75" s="7">
        <f>IF(B75&gt;0,1,0)+IF(C75&gt;0,1,0)+IF(D75&gt;0,1,0)</f>
        <v/>
      </c>
      <c r="G75" s="6">
        <f>IF(F75&gt;=3,"◎ 전팀 수행",IF(F75=2,"○ 2개팀",""))</f>
        <v/>
      </c>
    </row>
    <row r="76">
      <c r="A76" s="13" t="inlineStr">
        <is>
          <t>채널·스토어운영</t>
        </is>
      </c>
      <c r="B76" s="7">
        <f>ROUND(SUMIFS('03_통합데이터'!$H$3:$H$1002,'03_통합데이터'!$I$3:$I$1002,$A76,'03_통합데이터'!$A$3:$A$1002,"미디어커머스")/60,1)</f>
        <v/>
      </c>
      <c r="C76" s="7">
        <f>ROUND(SUMIFS('03_통합데이터'!$H$3:$H$1002,'03_통합데이터'!$I$3:$I$1002,$A76,'03_통합데이터'!$A$3:$A$1002,"브랜드커머스")/60,1)</f>
        <v/>
      </c>
      <c r="D76" s="7">
        <f>ROUND(SUMIFS('03_통합데이터'!$H$3:$H$1002,'03_통합데이터'!$I$3:$I$1002,$A76,'03_통합데이터'!$A$3:$A$1002,"해외제조")/60,1)</f>
        <v/>
      </c>
      <c r="E76" s="7">
        <f>ROUND(SUM(B76:D76),1)</f>
        <v/>
      </c>
      <c r="F76" s="7">
        <f>IF(B76&gt;0,1,0)+IF(C76&gt;0,1,0)+IF(D76&gt;0,1,0)</f>
        <v/>
      </c>
      <c r="G76" s="6">
        <f>IF(F76&gt;=3,"◎ 전팀 수행",IF(F76=2,"○ 2개팀",""))</f>
        <v/>
      </c>
    </row>
    <row r="77">
      <c r="A77" s="13" t="inlineStr">
        <is>
          <t>CS·물류·재고</t>
        </is>
      </c>
      <c r="B77" s="7">
        <f>ROUND(SUMIFS('03_통합데이터'!$H$3:$H$1002,'03_통합데이터'!$I$3:$I$1002,$A77,'03_통합데이터'!$A$3:$A$1002,"미디어커머스")/60,1)</f>
        <v/>
      </c>
      <c r="C77" s="7">
        <f>ROUND(SUMIFS('03_통합데이터'!$H$3:$H$1002,'03_통합데이터'!$I$3:$I$1002,$A77,'03_통합데이터'!$A$3:$A$1002,"브랜드커머스")/60,1)</f>
        <v/>
      </c>
      <c r="D77" s="7">
        <f>ROUND(SUMIFS('03_통합데이터'!$H$3:$H$1002,'03_통합데이터'!$I$3:$I$1002,$A77,'03_통합데이터'!$A$3:$A$1002,"해외제조")/60,1)</f>
        <v/>
      </c>
      <c r="E77" s="7">
        <f>ROUND(SUM(B77:D77),1)</f>
        <v/>
      </c>
      <c r="F77" s="7">
        <f>IF(B77&gt;0,1,0)+IF(C77&gt;0,1,0)+IF(D77&gt;0,1,0)</f>
        <v/>
      </c>
      <c r="G77" s="6">
        <f>IF(F77&gt;=3,"◎ 전팀 수행",IF(F77=2,"○ 2개팀",""))</f>
        <v/>
      </c>
    </row>
    <row r="78">
      <c r="A78" s="13" t="inlineStr">
        <is>
          <t>데이터·정산</t>
        </is>
      </c>
      <c r="B78" s="7">
        <f>ROUND(SUMIFS('03_통합데이터'!$H$3:$H$1002,'03_통합데이터'!$I$3:$I$1002,$A78,'03_통합데이터'!$A$3:$A$1002,"미디어커머스")/60,1)</f>
        <v/>
      </c>
      <c r="C78" s="7">
        <f>ROUND(SUMIFS('03_통합데이터'!$H$3:$H$1002,'03_통합데이터'!$I$3:$I$1002,$A78,'03_통합데이터'!$A$3:$A$1002,"브랜드커머스")/60,1)</f>
        <v/>
      </c>
      <c r="D78" s="7">
        <f>ROUND(SUMIFS('03_통합데이터'!$H$3:$H$1002,'03_통합데이터'!$I$3:$I$1002,$A78,'03_통합데이터'!$A$3:$A$1002,"해외제조")/60,1)</f>
        <v/>
      </c>
      <c r="E78" s="7">
        <f>ROUND(SUM(B78:D78),1)</f>
        <v/>
      </c>
      <c r="F78" s="7">
        <f>IF(B78&gt;0,1,0)+IF(C78&gt;0,1,0)+IF(D78&gt;0,1,0)</f>
        <v/>
      </c>
      <c r="G78" s="6">
        <f>IF(F78&gt;=3,"◎ 전팀 수행",IF(F78=2,"○ 2개팀",""))</f>
        <v/>
      </c>
    </row>
    <row r="79">
      <c r="A79" s="13" t="inlineStr">
        <is>
          <t>기획·보고·회의</t>
        </is>
      </c>
      <c r="B79" s="7">
        <f>ROUND(SUMIFS('03_통합데이터'!$H$3:$H$1002,'03_통합데이터'!$I$3:$I$1002,$A79,'03_통합데이터'!$A$3:$A$1002,"미디어커머스")/60,1)</f>
        <v/>
      </c>
      <c r="C79" s="7">
        <f>ROUND(SUMIFS('03_통합데이터'!$H$3:$H$1002,'03_통합데이터'!$I$3:$I$1002,$A79,'03_통합데이터'!$A$3:$A$1002,"브랜드커머스")/60,1)</f>
        <v/>
      </c>
      <c r="D79" s="7">
        <f>ROUND(SUMIFS('03_통합데이터'!$H$3:$H$1002,'03_통합데이터'!$I$3:$I$1002,$A79,'03_통합데이터'!$A$3:$A$1002,"해외제조")/60,1)</f>
        <v/>
      </c>
      <c r="E79" s="7">
        <f>ROUND(SUM(B79:D79),1)</f>
        <v/>
      </c>
      <c r="F79" s="7">
        <f>IF(B79&gt;0,1,0)+IF(C79&gt;0,1,0)+IF(D79&gt;0,1,0)</f>
        <v/>
      </c>
      <c r="G79" s="6">
        <f>IF(F79&gt;=3,"◎ 전팀 수행",IF(F79=2,"○ 2개팀",""))</f>
        <v/>
      </c>
    </row>
    <row r="80">
      <c r="A80" s="13" t="inlineStr">
        <is>
          <t>사내시스템·자동화</t>
        </is>
      </c>
      <c r="B80" s="7">
        <f>ROUND(SUMIFS('03_통합데이터'!$H$3:$H$1002,'03_통합데이터'!$I$3:$I$1002,$A80,'03_통합데이터'!$A$3:$A$1002,"미디어커머스")/60,1)</f>
        <v/>
      </c>
      <c r="C80" s="7">
        <f>ROUND(SUMIFS('03_통합데이터'!$H$3:$H$1002,'03_통합데이터'!$I$3:$I$1002,$A80,'03_통합데이터'!$A$3:$A$1002,"브랜드커머스")/60,1)</f>
        <v/>
      </c>
      <c r="D80" s="7">
        <f>ROUND(SUMIFS('03_통합데이터'!$H$3:$H$1002,'03_통합데이터'!$I$3:$I$1002,$A80,'03_통합데이터'!$A$3:$A$1002,"해외제조")/60,1)</f>
        <v/>
      </c>
      <c r="E80" s="7">
        <f>ROUND(SUM(B80:D80),1)</f>
        <v/>
      </c>
      <c r="F80" s="7">
        <f>IF(B80&gt;0,1,0)+IF(C80&gt;0,1,0)+IF(D80&gt;0,1,0)</f>
        <v/>
      </c>
      <c r="G80" s="6">
        <f>IF(F80&gt;=3,"◎ 전팀 수행",IF(F80=2,"○ 2개팀",""))</f>
        <v/>
      </c>
    </row>
    <row r="81">
      <c r="A81" s="13" t="inlineStr">
        <is>
          <t>파트너·대리점관리</t>
        </is>
      </c>
      <c r="B81" s="7">
        <f>ROUND(SUMIFS('03_통합데이터'!$H$3:$H$1002,'03_통합데이터'!$I$3:$I$1002,$A81,'03_통합데이터'!$A$3:$A$1002,"미디어커머스")/60,1)</f>
        <v/>
      </c>
      <c r="C81" s="7">
        <f>ROUND(SUMIFS('03_통합데이터'!$H$3:$H$1002,'03_통합데이터'!$I$3:$I$1002,$A81,'03_통합데이터'!$A$3:$A$1002,"브랜드커머스")/60,1)</f>
        <v/>
      </c>
      <c r="D81" s="7">
        <f>ROUND(SUMIFS('03_통합데이터'!$H$3:$H$1002,'03_통합데이터'!$I$3:$I$1002,$A81,'03_통합데이터'!$A$3:$A$1002,"해외제조")/60,1)</f>
        <v/>
      </c>
      <c r="E81" s="7">
        <f>ROUND(SUM(B81:D81),1)</f>
        <v/>
      </c>
      <c r="F81" s="7">
        <f>IF(B81&gt;0,1,0)+IF(C81&gt;0,1,0)+IF(D81&gt;0,1,0)</f>
        <v/>
      </c>
      <c r="G81" s="6">
        <f>IF(F81&gt;=3,"◎ 전팀 수행",IF(F81=2,"○ 2개팀",""))</f>
        <v/>
      </c>
    </row>
    <row r="82">
      <c r="A82" s="13" t="inlineStr">
        <is>
          <t>기타·행정</t>
        </is>
      </c>
      <c r="B82" s="7">
        <f>ROUND(SUMIFS('03_통합데이터'!$H$3:$H$1002,'03_통합데이터'!$I$3:$I$1002,$A82,'03_통합데이터'!$A$3:$A$1002,"미디어커머스")/60,1)</f>
        <v/>
      </c>
      <c r="C82" s="7">
        <f>ROUND(SUMIFS('03_통합데이터'!$H$3:$H$1002,'03_통합데이터'!$I$3:$I$1002,$A82,'03_통합데이터'!$A$3:$A$1002,"브랜드커머스")/60,1)</f>
        <v/>
      </c>
      <c r="D82" s="7">
        <f>ROUND(SUMIFS('03_통합데이터'!$H$3:$H$1002,'03_통합데이터'!$I$3:$I$1002,$A82,'03_통합데이터'!$A$3:$A$1002,"해외제조")/60,1)</f>
        <v/>
      </c>
      <c r="E82" s="7">
        <f>ROUND(SUM(B82:D82),1)</f>
        <v/>
      </c>
      <c r="F82" s="7">
        <f>IF(B82&gt;0,1,0)+IF(C82&gt;0,1,0)+IF(D82&gt;0,1,0)</f>
        <v/>
      </c>
      <c r="G82" s="6">
        <f>IF(F82&gt;=3,"◎ 전팀 수행",IF(F82=2,"○ 2개팀",""))</f>
        <v/>
      </c>
    </row>
  </sheetData>
  <autoFilter ref="A6:K58"/>
  <mergeCells count="12">
    <mergeCell ref="G4:H4"/>
    <mergeCell ref="E4:F4"/>
    <mergeCell ref="A4:B4"/>
    <mergeCell ref="I4:J4"/>
    <mergeCell ref="A3:B3"/>
    <mergeCell ref="A70:K70"/>
    <mergeCell ref="I3:J3"/>
    <mergeCell ref="C3:D3"/>
    <mergeCell ref="A1:K1"/>
    <mergeCell ref="G3:H3"/>
    <mergeCell ref="E3:F3"/>
    <mergeCell ref="C4:D4"/>
  </mergeCells>
  <conditionalFormatting sqref="A7:K58">
    <cfRule type="expression" priority="2" dxfId="1">
      <formula>$H7&gt;=3</formula>
    </cfRule>
    <cfRule type="expression" priority="3" dxfId="0">
      <formula>$H7=2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548235"/>
    <outlinePr summaryBelow="1" summaryRight="1"/>
    <pageSetUpPr/>
  </sheetPr>
  <dimension ref="A1:L3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8" sqref="C8"/>
    </sheetView>
  </sheetViews>
  <sheetFormatPr baseColWidth="8" defaultColWidth="8.7109375" defaultRowHeight="15"/>
  <cols>
    <col width="6" customWidth="1" min="1" max="1"/>
    <col width="30" customWidth="1" min="2" max="2"/>
    <col width="20" customWidth="1" min="3" max="3"/>
    <col width="34" customWidth="1" min="4" max="4"/>
    <col width="26" customWidth="1" min="5" max="5"/>
    <col width="34" customWidth="1" min="6" max="6"/>
    <col width="18" customWidth="1" min="7" max="7"/>
    <col width="14" customWidth="1" min="8" max="8"/>
    <col width="12" customWidth="1" min="9" max="9"/>
    <col width="11" customWidth="1" min="10" max="10"/>
    <col width="10" customWidth="1" min="11" max="11"/>
    <col width="18" customWidth="1" min="12" max="12"/>
  </cols>
  <sheetData>
    <row r="1" ht="25.5" customHeight="1">
      <c r="A1" s="34" t="inlineStr">
        <is>
          <t>통합 기회 도출 시트 — 04 분석에서 '중복' 판정된 업무를 옮겨 적고 통합안을 설계</t>
        </is>
      </c>
    </row>
    <row r="2" ht="15" customHeight="1">
      <c r="A2" s="31" t="inlineStr">
        <is>
          <t>작성 순서 ▶ ① 04시트를 '통합우선순위점수' 기준 내림차순 정렬 → ② 상위 항목을 아래로 옮겨 적기 → ③ 각 팀 담당자에게 '어떻게 하는지' 확인 후 수행방식 차이 기재 → ④ 통합 유형/주관 결정</t>
        </is>
      </c>
    </row>
    <row r="3" ht="33.75" customHeight="1">
      <c r="A3" s="18" t="inlineStr">
        <is>
          <t>연번</t>
        </is>
      </c>
      <c r="B3" s="18" t="inlineStr">
        <is>
          <t>중복 업무 (중분류)</t>
        </is>
      </c>
      <c r="C3" s="18" t="inlineStr">
        <is>
          <t>관련 팀</t>
        </is>
      </c>
      <c r="D3" s="18" t="inlineStr">
        <is>
          <t>각 팀 현재 수행 방식 차이</t>
        </is>
      </c>
      <c r="E3" s="18" t="inlineStr">
        <is>
          <t>중복 발생 원인</t>
        </is>
      </c>
      <c r="F3" s="18" t="inlineStr">
        <is>
          <t>통합 방안</t>
        </is>
      </c>
      <c r="G3" s="18" t="inlineStr">
        <is>
          <t>통합 유형</t>
        </is>
      </c>
      <c r="H3" s="18" t="inlineStr">
        <is>
          <t>주관 조직(안)</t>
        </is>
      </c>
      <c r="I3" s="18" t="inlineStr">
        <is>
          <t>월 예상 절감시간(h)</t>
        </is>
      </c>
      <c r="J3" s="18" t="inlineStr">
        <is>
          <t>실행 난이도</t>
        </is>
      </c>
      <c r="K3" s="18" t="inlineStr">
        <is>
          <t>우선순위</t>
        </is>
      </c>
      <c r="L3" s="18" t="inlineStr">
        <is>
          <t>비고</t>
        </is>
      </c>
    </row>
    <row r="4" ht="43.5" customHeight="1">
      <c r="A4" s="25" t="n">
        <v>1</v>
      </c>
      <c r="B4" s="25" t="inlineStr">
        <is>
          <t>MKT-02 광고 성과 모니터링·최적화</t>
        </is>
      </c>
      <c r="C4" s="26" t="inlineStr">
        <is>
          <t>미디어/브랜드/해외제조</t>
        </is>
      </c>
      <c r="D4" s="25" t="inlineStr">
        <is>
          <t>3팀 모두 매일 오전 각자 광고관리자 접속 → 각자 양식의 구글시트에 수기 집계</t>
        </is>
      </c>
      <c r="E4" s="26" t="inlineStr">
        <is>
          <t>성과 데이터 소스는 동일하나 집계 양식과 보고 라인이 팀별로 분리되어 있음</t>
        </is>
      </c>
      <c r="F4" s="26" t="inlineStr">
        <is>
          <t>본부 공용 광고 대시보드 1개 구축, 자동 수집. 팀은 '해석·조치'만 수행</t>
        </is>
      </c>
      <c r="G4" s="26" t="inlineStr">
        <is>
          <t>툴 공용화 + 자동화</t>
        </is>
      </c>
      <c r="H4" s="26" t="inlineStr">
        <is>
          <t>미디어커머스</t>
        </is>
      </c>
      <c r="I4" s="25" t="n">
        <v>24</v>
      </c>
      <c r="J4" s="26" t="inlineStr">
        <is>
          <t>중</t>
        </is>
      </c>
      <c r="K4" s="25" t="inlineStr">
        <is>
          <t>1순위</t>
        </is>
      </c>
      <c r="L4" s="26" t="inlineStr">
        <is>
          <t>대행사 계정 권한 통합 필요</t>
        </is>
      </c>
    </row>
    <row r="5" ht="31.5" customHeight="1">
      <c r="A5" s="9" t="n">
        <v>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1.5" customHeight="1">
      <c r="A6" s="9" t="n">
        <v>3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1.5" customHeight="1">
      <c r="A7" s="9" t="n">
        <v>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1.5" customHeight="1">
      <c r="A8" s="9" t="n">
        <v>5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1.5" customHeight="1">
      <c r="A9" s="9" t="n">
        <v>6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1.5" customHeight="1">
      <c r="A10" s="9" t="n">
        <v>7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1.5" customHeight="1">
      <c r="A11" s="9" t="n">
        <v>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1.5" customHeight="1">
      <c r="A12" s="9" t="n">
        <v>9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1.5" customHeight="1">
      <c r="A13" s="9" t="n">
        <v>10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1.5" customHeight="1">
      <c r="A14" s="9" t="n">
        <v>11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1.5" customHeight="1">
      <c r="A15" s="9" t="n">
        <v>12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1.5" customHeight="1">
      <c r="A16" s="9" t="n">
        <v>13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1.5" customHeight="1">
      <c r="A17" s="9" t="n">
        <v>14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1.5" customHeight="1">
      <c r="A18" s="9" t="n">
        <v>15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1.5" customHeight="1">
      <c r="A19" s="9" t="n">
        <v>16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1.5" customHeight="1">
      <c r="A20" s="9" t="n">
        <v>17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1.5" customHeight="1">
      <c r="A21" s="9" t="n">
        <v>18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1.5" customHeight="1">
      <c r="A22" s="9" t="n">
        <v>19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1.5" customHeight="1">
      <c r="A23" s="9" t="n">
        <v>20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1.5" customHeight="1">
      <c r="A24" s="9" t="n">
        <v>21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31.5" customHeight="1">
      <c r="A25" s="9" t="n">
        <v>22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31.5" customHeight="1">
      <c r="A26" s="9" t="n">
        <v>23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 ht="31.5" customHeight="1">
      <c r="A27" s="9" t="n">
        <v>24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31.5" customHeight="1">
      <c r="A28" s="9" t="n">
        <v>25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31.5" customHeight="1">
      <c r="A29" s="9" t="n">
        <v>26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31.5" customHeight="1">
      <c r="A30" s="9" t="n">
        <v>27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31.5" customHeight="1">
      <c r="A31" s="9" t="n">
        <v>28</v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31.5" customHeight="1">
      <c r="A32" s="9" t="n">
        <v>29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31.5" customHeight="1">
      <c r="A33" s="9" t="n">
        <v>30</v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31.5" customHeight="1">
      <c r="A34" s="9" t="n">
        <v>31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31.5" customHeight="1">
      <c r="A35" s="9" t="n">
        <v>32</v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31.5" customHeight="1">
      <c r="A36" s="9" t="n">
        <v>33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 ht="31.5" customHeight="1">
      <c r="A37" s="9" t="n">
        <v>34</v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31.5" customHeight="1">
      <c r="A38" s="9" t="n">
        <v>35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 ht="31.5" customHeight="1">
      <c r="A39" s="9" t="n">
        <v>36</v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</sheetData>
  <mergeCells count="2">
    <mergeCell ref="A2:L2"/>
    <mergeCell ref="A1:L1"/>
  </mergeCells>
  <dataValidations count="4">
    <dataValidation sqref="G5:G39" showDropDown="0" showInputMessage="0" showErrorMessage="0" allowBlank="1" type="list">
      <formula1>"단일 창구화,프로세스 통합,툴 공용화,자동화,업무 폐지,역할 재정의"</formula1>
      <formula2>0</formula2>
    </dataValidation>
    <dataValidation sqref="J5:J39" showDropDown="0" showInputMessage="0" showErrorMessage="0" allowBlank="1" type="list">
      <formula1>"상,중,하"</formula1>
      <formula2>0</formula2>
    </dataValidation>
    <dataValidation sqref="K5:K39" showDropDown="0" showInputMessage="0" showErrorMessage="0" allowBlank="1" type="list">
      <formula1>"1순위,2순위,3순위,보류"</formula1>
      <formula2>0</formula2>
    </dataValidation>
    <dataValidation sqref="H5:H39" showDropDown="0" showInputMessage="0" showErrorMessage="0" allowBlank="1" type="list">
      <formula1>"미디어커머스,브랜드커머스,해외제조,본부 공통,신설 조직"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B5:B39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2026-08-07T03:09:48Z</dcterms:created>
  <dcterms:modified xsi:type="dcterms:W3CDTF">2026-08-18T01:25:14Z</dcterms:modified>
  <cp:lastModifiedBy>Administrator</cp:lastModifiedBy>
  <cp:revision>0</cp:revision>
</cp:coreProperties>
</file>