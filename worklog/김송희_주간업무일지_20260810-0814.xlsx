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2" autoFilterDateGrouping="1"/>
  </bookViews>
  <sheets>
    <sheet name="01_작성안내" sheetId="1" state="visible" r:id="rId1"/>
    <sheet name="06_분류코드" sheetId="2" state="visible" r:id="rId2"/>
    <sheet name="02_업무일지양식" sheetId="3" state="visible" r:id="rId3"/>
    <sheet name="03_통합데이터" sheetId="4" state="visible" r:id="rId4"/>
    <sheet name="04_중복업무분석" sheetId="5" state="visible" r:id="rId5"/>
    <sheet name="05_통합기회도출" sheetId="6" state="visible" r:id="rId6"/>
  </sheets>
  <definedNames>
    <definedName name="_xlnm._FilterDatabase" localSheetId="2" hidden="1">'02_업무일지양식'!$A$6:$R$106</definedName>
    <definedName name="_xlnm._FilterDatabase" localSheetId="3" hidden="1">'03_통합데이터'!$A$2:$T$1002</definedName>
    <definedName name="_xlnm._FilterDatabase" localSheetId="4" hidden="1">'04_중복업무분석'!$A$6:$K$58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37">
    <font>
      <name val="Calibri"/>
      <charset val="1"/>
      <family val="2"/>
      <color theme="1"/>
      <sz val="11"/>
    </font>
    <font>
      <name val="Noto Sans CJK SC"/>
      <family val="2"/>
      <b val="1"/>
      <color rgb="FF1F3864"/>
      <sz val="16"/>
    </font>
    <font>
      <name val="Noto Sans CJK SC"/>
      <family val="2"/>
      <b val="1"/>
      <color rgb="FF2E5C8A"/>
      <sz val="11"/>
    </font>
    <font>
      <name val="Noto Sans CJK SC"/>
      <family val="2"/>
      <color rgb="FF000000"/>
      <sz val="10"/>
    </font>
    <font>
      <name val="맑은 고딕"/>
      <charset val="129"/>
      <family val="3"/>
      <color rgb="FF000000"/>
      <sz val="10"/>
    </font>
    <font>
      <name val="Noto Sans CJK SC"/>
      <family val="2"/>
      <b val="1"/>
      <color rgb="FFFFFFFF"/>
      <sz val="14"/>
    </font>
    <font>
      <name val="Noto Sans CJK SC"/>
      <family val="2"/>
      <b val="1"/>
      <color rgb="FF000000"/>
      <sz val="10"/>
    </font>
    <font>
      <name val="Noto Sans CJK SC"/>
      <family val="2"/>
      <color rgb="FF0000FF"/>
      <sz val="10"/>
    </font>
    <font>
      <name val="맑은 고딕"/>
      <charset val="129"/>
      <family val="3"/>
      <color rgb="FF0000FF"/>
      <sz val="10"/>
    </font>
    <font>
      <name val="Noto Sans CJK SC"/>
      <family val="2"/>
      <color rgb="FFC00000"/>
      <sz val="9"/>
    </font>
    <font>
      <name val="Noto Sans CJK SC"/>
      <family val="2"/>
      <b val="1"/>
      <color rgb="FFFFFFFF"/>
      <sz val="10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595959"/>
      <sz val="9"/>
    </font>
    <font>
      <name val="Noto Sans CJK SC"/>
      <family val="2"/>
      <b val="1"/>
      <sz val="9"/>
    </font>
    <font>
      <name val="맑은 고딕"/>
      <charset val="129"/>
      <family val="3"/>
      <sz val="9"/>
    </font>
    <font>
      <name val="맑은 고딕"/>
      <charset val="129"/>
      <family val="3"/>
      <b val="1"/>
      <sz val="9"/>
    </font>
    <font>
      <name val="맑은 고딕"/>
      <charset val="129"/>
      <family val="3"/>
      <b val="1"/>
      <sz val="10"/>
    </font>
    <font>
      <name val="Noto Sans CJK SC"/>
      <family val="2"/>
      <b val="1"/>
      <color rgb="FF1F3864"/>
      <sz val="10"/>
    </font>
    <font>
      <name val="Noto Sans CJK SC"/>
      <family val="2"/>
      <b val="1"/>
      <color rgb="FFFFFFFF"/>
      <sz val="12"/>
    </font>
    <font>
      <name val="Noto Sans CJK SC"/>
      <family val="2"/>
      <b val="1"/>
      <color rgb="FF000000"/>
      <sz val="9"/>
    </font>
    <font>
      <name val="맑은 고딕"/>
      <charset val="129"/>
      <family val="3"/>
      <b val="1"/>
      <color rgb="FF1F3864"/>
      <sz val="11"/>
    </font>
    <font>
      <name val="Noto Sans CJK SC"/>
      <family val="2"/>
      <color rgb="FF000000"/>
      <sz val="9"/>
    </font>
    <font>
      <name val="맑은 고딕"/>
      <charset val="129"/>
      <family val="3"/>
      <color rgb="FF000000"/>
      <sz val="9"/>
    </font>
    <font>
      <name val="Noto Sans CJK SC"/>
      <family val="2"/>
      <sz val="9"/>
    </font>
    <font>
      <name val="Noto Sans CJK SC"/>
      <family val="2"/>
      <b val="1"/>
      <color rgb="FF1F3864"/>
      <sz val="12"/>
    </font>
    <font>
      <name val="돋움"/>
      <charset val="129"/>
      <family val="3"/>
      <sz val="8"/>
    </font>
    <font>
      <name val="Noto Sans CJK SC"/>
      <charset val="129"/>
      <family val="3"/>
      <b val="1"/>
      <color rgb="FF000000"/>
      <sz val="10"/>
    </font>
    <font>
      <name val="맑은 고딕"/>
      <charset val="129"/>
      <family val="3"/>
      <color theme="1"/>
      <sz val="9"/>
    </font>
    <font>
      <name val="Noto Sans CJK SC"/>
      <family val="2"/>
      <color theme="1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sz val="9"/>
    </font>
    <font>
      <name val="맑은 고딕"/>
      <charset val="129"/>
      <family val="3"/>
      <sz val="9"/>
    </font>
    <font>
      <name val="Noto Sans CJK SC"/>
      <color rgb="FF1F4E79"/>
      <sz val="9"/>
    </font>
    <font>
      <name val="Arial"/>
      <family val="2"/>
      <b val="1"/>
      <color rgb="FFFFFFFF"/>
      <sz val="10"/>
    </font>
    <font>
      <name val="Noto Sans CJK SC"/>
      <charset val="129"/>
      <family val="3"/>
      <b val="1"/>
      <color rgb="FFFFFFFF"/>
      <sz val="10"/>
    </font>
    <font>
      <name val="Calibri"/>
      <charset val="1"/>
      <family val="2"/>
      <color theme="10"/>
      <sz val="11"/>
      <u val="single"/>
    </font>
    <font>
      <name val="Calibri"/>
      <family val="2"/>
      <color theme="10"/>
      <sz val="11"/>
      <u val="single"/>
    </font>
  </fonts>
  <fills count="3">
    <fill>
      <patternFill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5" fillId="0" borderId="0"/>
  </cellStyleXfs>
  <cellXfs count="59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  <xf numFmtId="0" fontId="28" fillId="0" borderId="0" applyAlignment="1" pivotButton="0" quotePrefix="0" xfId="0">
      <alignment vertical="center" wrapText="1"/>
    </xf>
    <xf numFmtId="0" fontId="29" fillId="0" borderId="0" pivotButton="0" quotePrefix="0" xfId="0"/>
    <xf numFmtId="0" fontId="30" fillId="0" borderId="0" pivotButton="0" quotePrefix="0" xfId="0"/>
    <xf numFmtId="0" fontId="31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34" fillId="2" borderId="0" applyAlignment="1" pivotButton="0" quotePrefix="0" xfId="0">
      <alignment horizontal="center" vertical="center" wrapText="1"/>
    </xf>
    <xf numFmtId="0" fontId="35" fillId="0" borderId="0" applyAlignment="1" pivotButton="0" quotePrefix="0" xfId="1">
      <alignment vertical="center"/>
    </xf>
    <xf numFmtId="0" fontId="35" fillId="0" borderId="0" pivotButton="0" quotePrefix="0" xfId="1"/>
    <xf numFmtId="164" fontId="8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14" fillId="0" borderId="0" applyAlignment="1" pivotButton="0" quotePrefix="0" xfId="0">
      <alignment horizontal="center" vertical="center"/>
    </xf>
    <xf numFmtId="164" fontId="27" fillId="0" borderId="0" applyAlignment="1" pivotButton="0" quotePrefix="0" xfId="0">
      <alignment vertical="center"/>
    </xf>
    <xf numFmtId="165" fontId="27" fillId="0" borderId="0" applyAlignment="1" pivotButton="0" quotePrefix="0" xfId="0">
      <alignment vertical="center"/>
    </xf>
    <xf numFmtId="164" fontId="14" fillId="0" borderId="0" applyAlignment="1" pivotButton="0" quotePrefix="0" xfId="0">
      <alignment vertical="center"/>
    </xf>
    <xf numFmtId="165" fontId="14" fillId="0" borderId="0" applyAlignment="1" pivotButton="0" quotePrefix="0" xfId="0">
      <alignment vertical="center"/>
    </xf>
    <xf numFmtId="164" fontId="8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14" fillId="0" borderId="0" applyAlignment="1" pivotButton="0" quotePrefix="0" xfId="0">
      <alignment horizontal="center" vertical="center"/>
    </xf>
    <xf numFmtId="164" fontId="27" fillId="0" borderId="0" applyAlignment="1" pivotButton="0" quotePrefix="0" xfId="0">
      <alignment vertical="center"/>
    </xf>
    <xf numFmtId="165" fontId="27" fillId="0" borderId="0" applyAlignment="1" pivotButton="0" quotePrefix="0" xfId="0">
      <alignment vertical="center"/>
    </xf>
    <xf numFmtId="164" fontId="14" fillId="0" borderId="0" applyAlignment="1" pivotButton="0" quotePrefix="0" xfId="0">
      <alignment vertical="center"/>
    </xf>
    <xf numFmtId="165" fontId="14" fillId="0" borderId="0" applyAlignment="1" pivotButton="0" quotePrefix="0" xfId="0">
      <alignment vertical="center"/>
    </xf>
  </cellXfs>
  <cellStyles count="2">
    <cellStyle name="표준" xfId="0" builtinId="0"/>
    <cellStyle name="하이퍼링크" xfId="1" builtinId="8"/>
  </cellStyles>
  <dxfs count="2">
    <dxf>
      <fill>
        <patternFill>
          <bgColor rgb="FFFFF2CC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595959"/>
      <rgbColor rgb="FF7F7F7F"/>
      <rgbColor rgb="FF1F3864"/>
      <rgbColor rgb="FF339966"/>
      <rgbColor rgb="FF003300"/>
      <rgbColor rgb="FF333300"/>
      <rgbColor rgb="FF993300"/>
      <rgbColor rgb="FF993366"/>
      <rgbColor rgb="FF2E5C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pourstorecrm.web.app/pour-os" TargetMode="External" Id="rId1" /><Relationship Type="http://schemas.openxmlformats.org/officeDocument/2006/relationships/hyperlink" Target="https://pourstorecrm.web.app/pour-os" TargetMode="External" Id="rId2" /><Relationship Type="http://schemas.openxmlformats.org/officeDocument/2006/relationships/hyperlink" Target="https://pourstorecrm.web.app/pour-os" TargetMode="External" Id="rId3" /><Relationship Type="http://schemas.openxmlformats.org/officeDocument/2006/relationships/hyperlink" Target="https://pourstorecrm.web.app/pour-os" TargetMode="External" Id="rId4" /><Relationship Type="http://schemas.openxmlformats.org/officeDocument/2006/relationships/hyperlink" Target="https://moyeoradeal-sourcing.pages.dev/sourcingapp" TargetMode="External" Id="rId5" /><Relationship Type="http://schemas.openxmlformats.org/officeDocument/2006/relationships/hyperlink" Target="https://moyeoradeal-sourcing.pages.dev/sourcingapp" TargetMode="External" Id="rId6" /><Relationship Type="http://schemas.openxmlformats.org/officeDocument/2006/relationships/hyperlink" Target="https://pourstorecrm.web.app/pour-os" TargetMode="External" Id="rId7" /><Relationship Type="http://schemas.openxmlformats.org/officeDocument/2006/relationships/hyperlink" Target="https://pourstorecrm.web.app/pour-os" TargetMode="External" Id="rId8" /><Relationship Type="http://schemas.openxmlformats.org/officeDocument/2006/relationships/hyperlink" Target="https://pourstorecrm.web.app/pour-os" TargetMode="External" Id="rId9" /><Relationship Type="http://schemas.openxmlformats.org/officeDocument/2006/relationships/hyperlink" Target="https://pourstorecrm.web.app/pour-os" TargetMode="External" Id="rId10" /><Relationship Type="http://schemas.openxmlformats.org/officeDocument/2006/relationships/hyperlink" Target="https://pourstorecrm.web.app/pour-os" TargetMode="External" Id="rId11" /><Relationship Type="http://schemas.openxmlformats.org/officeDocument/2006/relationships/hyperlink" Target="https://moyeoradeal-sourcing.pages.dev/sourcingapp" TargetMode="External" Id="rId12" /><Relationship Type="http://schemas.openxmlformats.org/officeDocument/2006/relationships/hyperlink" Target="https://pour-construction-form.pages.dev/pourstore-pricing-dashboard" TargetMode="External" Id="rId13" /><Relationship Type="http://schemas.openxmlformats.org/officeDocument/2006/relationships/hyperlink" Target="https://pourstorecrm.web.app/pour-os" TargetMode="External" Id="rId14" /><Relationship Type="http://schemas.openxmlformats.org/officeDocument/2006/relationships/hyperlink" Target="https://pourstorecrm.web.app/pour-os" TargetMode="External" Id="rId15" /><Relationship Type="http://schemas.openxmlformats.org/officeDocument/2006/relationships/hyperlink" Target="https://pourstorecrm.web.app/pour-os" TargetMode="External" Id="rId16" /><Relationship Type="http://schemas.openxmlformats.org/officeDocument/2006/relationships/hyperlink" Target="https://pourstorecrm.web.app/pour-os" TargetMode="External" Id="rId17" /><Relationship Type="http://schemas.openxmlformats.org/officeDocument/2006/relationships/hyperlink" Target="https://pourstorecrm.web.app/pour-os" TargetMode="External" Id="rId18" /><Relationship Type="http://schemas.openxmlformats.org/officeDocument/2006/relationships/hyperlink" Target="https://pourstorecrm.web.app/pour-os" TargetMode="External" Id="rId19" /><Relationship Type="http://schemas.openxmlformats.org/officeDocument/2006/relationships/hyperlink" Target="https://pourstorecrm.web.app/pour-os" TargetMode="External" Id="rId20" /><Relationship Type="http://schemas.openxmlformats.org/officeDocument/2006/relationships/hyperlink" Target="https://pourstorecrm.web.app/pour-os" TargetMode="External" Id="rId21" /><Relationship Type="http://schemas.openxmlformats.org/officeDocument/2006/relationships/hyperlink" Target="https://pourstorecrm.web.app/pour-os" TargetMode="External" Id="rId22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H37"/>
  <sheetViews>
    <sheetView showGridLines="0" zoomScaleNormal="100" workbookViewId="0">
      <selection activeCell="J7" sqref="J7"/>
    </sheetView>
  </sheetViews>
  <sheetFormatPr baseColWidth="8" defaultColWidth="8.7109375" defaultRowHeight="15"/>
  <cols>
    <col width="34" customWidth="1" style="26" min="1" max="1"/>
    <col width="14" customWidth="1" style="26" min="2" max="8"/>
  </cols>
  <sheetData>
    <row r="1" ht="27.75" customHeight="1" s="26">
      <c r="A1" s="28" t="inlineStr">
        <is>
          <t>커머스 본부 주간 일간업무일지 (업무 통합 · 중복 진단용)</t>
        </is>
      </c>
    </row>
    <row r="3" ht="21.75" customHeight="1" s="26">
      <c r="A3" s="39" t="inlineStr">
        <is>
          <t>■ 작성 목적</t>
        </is>
      </c>
    </row>
    <row r="4">
      <c r="B4" s="25" t="inlineStr">
        <is>
          <t>현재 커머스 본부는 [미디어커머스 / 브랜드커머스 / 해외제조] 3개 조직으로 분리 운영 중입니다.</t>
        </is>
      </c>
    </row>
    <row r="5">
      <c r="B5" s="27" t="inlineStr">
        <is>
          <t>3개 조직이 실제로 어떤 업무를 얼마나 하고 있는지 시간대별로 기록하여,</t>
        </is>
      </c>
    </row>
    <row r="6">
      <c r="B6" s="25" t="inlineStr">
        <is>
          <t>① 팀 간 중복 수행 업무를 찾아내고 ② 통합 대상 업무와 단일 창구를 설계하는 것이 목적입니다.</t>
        </is>
      </c>
    </row>
    <row r="7">
      <c r="B7" s="25" t="inlineStr">
        <is>
          <t>※ 개인 성과평가 목적이 아닙니다. 있는 그대로 솔직하게 기록해야 통합 설계가 정확해집니다.</t>
        </is>
      </c>
    </row>
    <row r="9" ht="21.75" customHeight="1" s="26">
      <c r="A9" s="39" t="inlineStr">
        <is>
          <t>■ 작성 대상 / 기간</t>
        </is>
      </c>
    </row>
    <row r="10">
      <c r="B10" s="25" t="inlineStr">
        <is>
          <t>대상: 커머스 본부 3개 팀 전 구성원 (팀장 포함)</t>
        </is>
      </c>
    </row>
    <row r="11">
      <c r="B11" s="25" t="inlineStr">
        <is>
          <t>기간: 1주일(월~금) / 매일 퇴근 전 당일분 작성 권장 (몰아쓰면 정확도가 급격히 떨어집니다)</t>
        </is>
      </c>
    </row>
    <row r="13" ht="21.75" customHeight="1" s="26">
      <c r="A13" s="39" t="inlineStr">
        <is>
          <t>■ 시트 구성 및 사용 순서</t>
        </is>
      </c>
    </row>
    <row r="14">
      <c r="B14" s="27" t="inlineStr">
        <is>
          <t>① 02_업무일지양식  → 개인이 작성. 30분 단위 시간대가 미리 채워져 있습니다. 사본을 만들어 1인 1개 사용.</t>
        </is>
      </c>
    </row>
    <row r="15">
      <c r="B15" s="27" t="inlineStr">
        <is>
          <t>② 03_통합데이터    → 취합 담당자가 전원의 작성분을 이 시트에 '값 붙여넣기'로 모읍니다.</t>
        </is>
      </c>
    </row>
    <row r="16">
      <c r="B16" s="27" t="inlineStr">
        <is>
          <t>③ 04_중복업무분석  → 자동 계산. 어떤 업무를 몇 개 팀이 중복 수행하는지 자동으로 나옵니다.</t>
        </is>
      </c>
    </row>
    <row r="17">
      <c r="B17" s="27" t="inlineStr">
        <is>
          <t>④ 05_통합기회도출  → 분석 결과를 보고 통합 방안을 수기로 정리합니다.</t>
        </is>
      </c>
    </row>
    <row r="18">
      <c r="B18" s="27" t="inlineStr">
        <is>
          <t>⑤ 06_분류코드      → 드롭다운 원본. 우리 조직에 없는 업무는 지우고, 빠진 업무는 추가하세요.</t>
        </is>
      </c>
    </row>
    <row r="20" ht="21.75" customHeight="1" s="26">
      <c r="A20" s="39" t="inlineStr">
        <is>
          <t>■ 작성 6원칙 (이대로 써야 분석이 됩니다)</t>
        </is>
      </c>
    </row>
    <row r="21">
      <c r="B21" s="27" t="inlineStr">
        <is>
          <t>1) 30분 단위로 빠짐없이 채운다. 비는 시간이 없도록 하되, 한 슬롯에 여러 업무가 섞이면 대표 업무 1개를 적는다.</t>
        </is>
      </c>
    </row>
    <row r="22">
      <c r="B22" s="27" t="inlineStr">
        <is>
          <t>2) 업무 중분류는 반드시 드롭다운에서 고른다. 자유 입력하면 중복 집계가 되지 않는다.</t>
        </is>
      </c>
    </row>
    <row r="23">
      <c r="B23" s="27" t="inlineStr">
        <is>
          <t>3) '업무내용'은 동사로 구체적으로. (X) 광고 관리  →  (O) A브랜드 메타 광고 소재 3개 교체 및 예산 재배분</t>
        </is>
      </c>
    </row>
    <row r="24">
      <c r="B24" s="27" t="inlineStr">
        <is>
          <t>4) '협업 대상'을 반드시 적는다. 같은 거래처·같은 MD·같은 대행사를 여러 팀이 각자 접촉하는 것이 대표적 중복이다.</t>
        </is>
      </c>
    </row>
    <row r="25">
      <c r="B25" s="27" t="inlineStr">
        <is>
          <t>5) '사용 시스템·툴'을 적는다. 같은 일을 서로 다른 툴로 하는 것도 통합 대상이다.</t>
        </is>
      </c>
    </row>
    <row r="26">
      <c r="B26" s="27" t="inlineStr">
        <is>
          <t>6) '타팀 중복예상' 칸에 본인의 감(感)을 남긴다. 데이터로 안 잡히는 중복을 잡아내는 단서가 된다.</t>
        </is>
      </c>
    </row>
    <row r="28" ht="21.75" customHeight="1" s="26">
      <c r="A28" s="39" t="inlineStr">
        <is>
          <t>■ 분석 결과 읽는 법 (04 시트)</t>
        </is>
      </c>
    </row>
    <row r="29">
      <c r="B29" s="27" t="inlineStr">
        <is>
          <t>· 수행팀수 3 → 3개 팀이 모두 하는 업무. 통합 1순위 (단일 창구화 또는 전담 배치)</t>
        </is>
      </c>
    </row>
    <row r="30">
      <c r="B30" s="27" t="inlineStr">
        <is>
          <t>· 수행팀수 2 → 2개 팀 중복. 통합 2순위 (역할 경계 재정의)</t>
        </is>
      </c>
    </row>
    <row r="31">
      <c r="B31" s="27" t="inlineStr">
        <is>
          <t>· 통합우선순위점수 = 수행팀수 × 총 소요시간(h). 점수가 높을수록 통합 효과가 큼</t>
        </is>
      </c>
    </row>
    <row r="32">
      <c r="B32" s="27" t="inlineStr">
        <is>
          <t>· 같은 중분류라도 '협업 대상'과 '대상 브랜드'가 다르면 실제로는 중복이 아닐 수 있으므로 05 시트에서 반드시 검증</t>
        </is>
      </c>
    </row>
    <row r="34" ht="21.75" customHeight="1" s="26">
      <c r="A34" s="39" t="inlineStr">
        <is>
          <t>■ 전제 / 가정</t>
        </is>
      </c>
    </row>
    <row r="35">
      <c r="B35" s="27" t="inlineStr">
        <is>
          <t>· 기본 근무시간을 09:00~18:00, 30분 단위로 가정했습니다. 조직 운영시간이 다르면 02 시트의 시간 열을 수정하세요.</t>
        </is>
      </c>
    </row>
    <row r="36">
      <c r="B36" s="27" t="inlineStr">
        <is>
          <t>· 일자는 02 시트 B3 셀(기준 주 월요일)을 입력하면 자동 계산됩니다.</t>
        </is>
      </c>
    </row>
    <row r="37">
      <c r="B37" s="27" t="inlineStr">
        <is>
          <t>· 노란색 셀 = 직접 입력, 흰색 셀 = 드롭다운 선택, 회색 셀 = 수식(수정 금지)</t>
        </is>
      </c>
    </row>
  </sheetData>
  <mergeCells count="25">
    <mergeCell ref="B6:H6"/>
    <mergeCell ref="B24:H24"/>
    <mergeCell ref="B30:H30"/>
    <mergeCell ref="B15:H15"/>
    <mergeCell ref="A1:H1"/>
    <mergeCell ref="B5:H5"/>
    <mergeCell ref="B36:H36"/>
    <mergeCell ref="B32:H32"/>
    <mergeCell ref="B26:H26"/>
    <mergeCell ref="B35:H35"/>
    <mergeCell ref="B4:H4"/>
    <mergeCell ref="B16:H16"/>
    <mergeCell ref="B7:H7"/>
    <mergeCell ref="B25:H25"/>
    <mergeCell ref="B31:H31"/>
    <mergeCell ref="B22:H22"/>
    <mergeCell ref="B18:H18"/>
    <mergeCell ref="B21:H21"/>
    <mergeCell ref="B11:H11"/>
    <mergeCell ref="B23:H23"/>
    <mergeCell ref="B14:H14"/>
    <mergeCell ref="B17:H17"/>
    <mergeCell ref="B29:H29"/>
    <mergeCell ref="B10:H10"/>
    <mergeCell ref="B37:H37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808080"/>
    <outlinePr summaryBelow="1" summaryRight="1"/>
    <pageSetUpPr/>
  </sheetPr>
  <dimension ref="A1:L76"/>
  <sheetViews>
    <sheetView zoomScaleNormal="100" workbookViewId="0">
      <selection activeCell="M2" sqref="M2"/>
    </sheetView>
  </sheetViews>
  <sheetFormatPr baseColWidth="8" defaultColWidth="8.7109375" defaultRowHeight="15"/>
  <cols>
    <col width="18" customWidth="1" style="26" min="1" max="1"/>
    <col width="40" customWidth="1" style="26" min="2" max="2"/>
    <col width="2" customWidth="1" style="26" min="3" max="3"/>
    <col width="16" customWidth="1" style="26" min="4" max="4"/>
    <col width="2" customWidth="1" style="26" min="5" max="5"/>
    <col width="14" customWidth="1" style="26" min="6" max="6"/>
    <col width="2" customWidth="1" style="26" min="7" max="7"/>
    <col width="20" customWidth="1" style="26" min="8" max="8"/>
    <col width="2" customWidth="1" style="26" min="9" max="9"/>
    <col width="20" customWidth="1" style="26" min="10" max="10"/>
    <col width="2" customWidth="1" style="26" min="11" max="11"/>
    <col width="18" customWidth="1" style="26" min="12" max="12"/>
  </cols>
  <sheetData>
    <row r="1" ht="17.25" customHeight="1" s="26">
      <c r="A1" s="14" t="inlineStr">
        <is>
          <t>업무 분류 코드 마스터 (드롭다운 원본 - 수정 시 전 시트에 반영됨)</t>
        </is>
      </c>
    </row>
    <row r="3">
      <c r="A3" s="4" t="inlineStr">
        <is>
          <t>업무 대분류</t>
        </is>
      </c>
      <c r="B3" s="4" t="inlineStr">
        <is>
          <t>업무 중분류 (코드)</t>
        </is>
      </c>
      <c r="D3" s="4" t="inlineStr">
        <is>
          <t>소속팀</t>
        </is>
      </c>
      <c r="F3" s="4" t="inlineStr">
        <is>
          <t>반복주기</t>
        </is>
      </c>
      <c r="H3" s="4" t="inlineStr">
        <is>
          <t>업무 성격</t>
        </is>
      </c>
      <c r="J3" s="4" t="inlineStr">
        <is>
          <t>타팀 중복 예상</t>
        </is>
      </c>
      <c r="L3" s="4" t="inlineStr">
        <is>
          <t>대분류 목록</t>
        </is>
      </c>
    </row>
    <row r="4">
      <c r="A4" s="11" t="inlineStr">
        <is>
          <t>상품기획·소싱</t>
        </is>
      </c>
      <c r="B4" s="12" t="inlineStr">
        <is>
          <t>PLN-01 신상품 아이템 발굴/시장조사</t>
        </is>
      </c>
      <c r="D4" s="11" t="inlineStr">
        <is>
          <t>미디어커머스</t>
        </is>
      </c>
      <c r="F4" s="11" t="inlineStr">
        <is>
          <t>매일</t>
        </is>
      </c>
      <c r="H4" s="11" t="inlineStr">
        <is>
          <t>정형(매뉴얼화 가능)</t>
        </is>
      </c>
      <c r="J4" s="11" t="inlineStr">
        <is>
          <t>예 - 확실히 중복</t>
        </is>
      </c>
      <c r="L4" s="11" t="inlineStr">
        <is>
          <t>상품기획·소싱</t>
        </is>
      </c>
    </row>
    <row r="5">
      <c r="A5" s="11" t="inlineStr">
        <is>
          <t>상품기획·소싱</t>
        </is>
      </c>
      <c r="B5" s="12" t="inlineStr">
        <is>
          <t>PLN-02 경쟁사·트렌드 분석</t>
        </is>
      </c>
      <c r="D5" s="11" t="inlineStr">
        <is>
          <t>브랜드커머스</t>
        </is>
      </c>
      <c r="F5" s="11" t="inlineStr">
        <is>
          <t>주 2~3회</t>
        </is>
      </c>
      <c r="H5" s="11" t="inlineStr">
        <is>
          <t>반정형</t>
        </is>
      </c>
      <c r="J5" s="11" t="inlineStr">
        <is>
          <t>아마도 중복</t>
        </is>
      </c>
      <c r="L5" s="11" t="inlineStr">
        <is>
          <t>제조·생산관리</t>
        </is>
      </c>
    </row>
    <row r="6">
      <c r="A6" s="11" t="inlineStr">
        <is>
          <t>상품기획·소싱</t>
        </is>
      </c>
      <c r="B6" s="12" t="inlineStr">
        <is>
          <t>PLN-03 원가·판가(마진) 설계</t>
        </is>
      </c>
      <c r="D6" s="11" t="inlineStr">
        <is>
          <t>해외제조</t>
        </is>
      </c>
      <c r="F6" s="11" t="inlineStr">
        <is>
          <t>주 1회</t>
        </is>
      </c>
      <c r="H6" s="11" t="inlineStr">
        <is>
          <t>비정형(판단 필요)</t>
        </is>
      </c>
      <c r="J6" s="11" t="inlineStr">
        <is>
          <t>아니오 - 우리팀 고유</t>
        </is>
      </c>
      <c r="L6" s="11" t="inlineStr">
        <is>
          <t>마케팅·광고운영</t>
        </is>
      </c>
    </row>
    <row r="7">
      <c r="A7" s="11" t="inlineStr">
        <is>
          <t>상품기획·소싱</t>
        </is>
      </c>
      <c r="B7" s="12" t="inlineStr">
        <is>
          <t>PLN-04 공급처(벤더) 발굴·컨택</t>
        </is>
      </c>
      <c r="F7" s="11" t="inlineStr">
        <is>
          <t>격주</t>
        </is>
      </c>
      <c r="J7" s="11" t="inlineStr">
        <is>
          <t>모름</t>
        </is>
      </c>
      <c r="L7" s="11" t="inlineStr">
        <is>
          <t>콘텐츠제작</t>
        </is>
      </c>
    </row>
    <row r="8">
      <c r="A8" s="11" t="inlineStr">
        <is>
          <t>상품기획·소싱</t>
        </is>
      </c>
      <c r="B8" s="12" t="inlineStr">
        <is>
          <t>PLN-05 샘플 요청·검토</t>
        </is>
      </c>
      <c r="F8" s="11" t="inlineStr">
        <is>
          <t>월 1회</t>
        </is>
      </c>
      <c r="L8" s="11" t="inlineStr">
        <is>
          <t>채널·스토어운영</t>
        </is>
      </c>
    </row>
    <row r="9">
      <c r="A9" s="11" t="inlineStr">
        <is>
          <t>상품기획·소싱</t>
        </is>
      </c>
      <c r="B9" s="12" t="inlineStr">
        <is>
          <t>PLN-06 상품 스펙·사양 확정</t>
        </is>
      </c>
      <c r="F9" s="11" t="inlineStr">
        <is>
          <t>분기/비정기</t>
        </is>
      </c>
      <c r="L9" s="11" t="inlineStr">
        <is>
          <t>CS·물류·재고</t>
        </is>
      </c>
    </row>
    <row r="10">
      <c r="A10" s="11" t="inlineStr">
        <is>
          <t>제조·생산관리</t>
        </is>
      </c>
      <c r="B10" s="12" t="inlineStr">
        <is>
          <t>MFG-01 해외공장/거래처 커뮤니케이션</t>
        </is>
      </c>
      <c r="F10" s="12" t="inlineStr">
        <is>
          <t>1회성</t>
        </is>
      </c>
      <c r="L10" s="11" t="inlineStr">
        <is>
          <t>데이터·정산</t>
        </is>
      </c>
    </row>
    <row r="11">
      <c r="A11" s="11" t="inlineStr">
        <is>
          <t>제조·생산관리</t>
        </is>
      </c>
      <c r="B11" s="12" t="inlineStr">
        <is>
          <t>MFG-02 발주(PO) 작성·전송</t>
        </is>
      </c>
      <c r="L11" s="11" t="inlineStr">
        <is>
          <t>기획·보고·회의</t>
        </is>
      </c>
    </row>
    <row r="12">
      <c r="A12" s="11" t="inlineStr">
        <is>
          <t>제조·생산관리</t>
        </is>
      </c>
      <c r="B12" s="12" t="inlineStr">
        <is>
          <t>MFG-03 생산일정 관리·납기 독촉</t>
        </is>
      </c>
      <c r="L12" s="11" t="inlineStr">
        <is>
          <t>사내시스템·자동화</t>
        </is>
      </c>
    </row>
    <row r="13">
      <c r="A13" s="11" t="inlineStr">
        <is>
          <t>제조·생산관리</t>
        </is>
      </c>
      <c r="B13" s="12" t="inlineStr">
        <is>
          <t>MFG-04 품질검사(QC)·불량 대응</t>
        </is>
      </c>
      <c r="L13" s="11" t="inlineStr">
        <is>
          <t>파트너·대리점관리</t>
        </is>
      </c>
    </row>
    <row r="14">
      <c r="A14" s="11" t="inlineStr">
        <is>
          <t>제조·생산관리</t>
        </is>
      </c>
      <c r="B14" s="12" t="inlineStr">
        <is>
          <t>MFG-05 수입통관·인증(KC 등) 처리</t>
        </is>
      </c>
      <c r="L14" s="11" t="inlineStr">
        <is>
          <t>기타·행정</t>
        </is>
      </c>
    </row>
    <row r="15">
      <c r="A15" s="11" t="inlineStr">
        <is>
          <t>제조·생산관리</t>
        </is>
      </c>
      <c r="B15" s="12" t="inlineStr">
        <is>
          <t>MFG-06 선적·입고 일정 관리</t>
        </is>
      </c>
    </row>
    <row r="16">
      <c r="A16" s="11" t="inlineStr">
        <is>
          <t>제조·생산관리</t>
        </is>
      </c>
      <c r="B16" s="12" t="inlineStr">
        <is>
          <t>MFG-07 단가 협상·계약</t>
        </is>
      </c>
    </row>
    <row r="17">
      <c r="A17" s="11" t="inlineStr">
        <is>
          <t>제조·생산관리</t>
        </is>
      </c>
      <c r="B17" s="12" t="inlineStr">
        <is>
          <t>MFG-08 MSDS·라벨 등 제품 표시사항 제작</t>
        </is>
      </c>
    </row>
    <row r="18">
      <c r="A18" s="11" t="inlineStr">
        <is>
          <t>마케팅·광고운영</t>
        </is>
      </c>
      <c r="B18" s="12" t="inlineStr">
        <is>
          <t>MKT-01 광고 계정 세팅·집행(메타/구글 등)</t>
        </is>
      </c>
    </row>
    <row r="19">
      <c r="A19" s="11" t="inlineStr">
        <is>
          <t>마케팅·광고운영</t>
        </is>
      </c>
      <c r="B19" s="12" t="inlineStr">
        <is>
          <t>MKT-02 광고 성과 모니터링·최적화</t>
        </is>
      </c>
    </row>
    <row r="20">
      <c r="A20" s="11" t="inlineStr">
        <is>
          <t>마케팅·광고운영</t>
        </is>
      </c>
      <c r="B20" s="12" t="inlineStr">
        <is>
          <t>MKT-03 광고 소재 기획·시안 검토</t>
        </is>
      </c>
    </row>
    <row r="21">
      <c r="A21" s="11" t="inlineStr">
        <is>
          <t>마케팅·광고운영</t>
        </is>
      </c>
      <c r="B21" s="12" t="inlineStr">
        <is>
          <t>MKT-04 인플루언서·체험단 섭외/관리</t>
        </is>
      </c>
    </row>
    <row r="22">
      <c r="A22" s="11" t="inlineStr">
        <is>
          <t>마케팅·광고운영</t>
        </is>
      </c>
      <c r="B22" s="12" t="inlineStr">
        <is>
          <t>MKT-05 프로모션·기획전 기획</t>
        </is>
      </c>
    </row>
    <row r="23">
      <c r="A23" s="11" t="inlineStr">
        <is>
          <t>마케팅·광고운영</t>
        </is>
      </c>
      <c r="B23" s="12" t="inlineStr">
        <is>
          <t>MKT-06 CRM(문자/알림톡/메일) 발송</t>
        </is>
      </c>
    </row>
    <row r="24">
      <c r="A24" s="11" t="inlineStr">
        <is>
          <t>마케팅·광고운영</t>
        </is>
      </c>
      <c r="B24" s="12" t="inlineStr">
        <is>
          <t>MKT-07 대행사 커뮤니케이션·관리</t>
        </is>
      </c>
    </row>
    <row r="25">
      <c r="A25" s="11" t="inlineStr">
        <is>
          <t>마케팅·광고운영</t>
        </is>
      </c>
      <c r="B25" s="12" t="inlineStr">
        <is>
          <t>MKT-08 제휴마케팅(링크프라이스 등) 운영·성과확인</t>
        </is>
      </c>
    </row>
    <row r="26">
      <c r="A26" s="11" t="inlineStr">
        <is>
          <t>콘텐츠제작</t>
        </is>
      </c>
      <c r="B26" s="12" t="inlineStr">
        <is>
          <t>CNT-01 상세페이지 기획·제작</t>
        </is>
      </c>
    </row>
    <row r="27">
      <c r="A27" s="11" t="inlineStr">
        <is>
          <t>콘텐츠제작</t>
        </is>
      </c>
      <c r="B27" s="12" t="inlineStr">
        <is>
          <t>CNT-02 촬영 기획·진행</t>
        </is>
      </c>
    </row>
    <row r="28">
      <c r="A28" s="11" t="inlineStr">
        <is>
          <t>콘텐츠제작</t>
        </is>
      </c>
      <c r="B28" s="12" t="inlineStr">
        <is>
          <t>CNT-03 영상 편집·숏폼 제작</t>
        </is>
      </c>
    </row>
    <row r="29">
      <c r="A29" s="11" t="inlineStr">
        <is>
          <t>콘텐츠제작</t>
        </is>
      </c>
      <c r="B29" s="12" t="inlineStr">
        <is>
          <t>CNT-04 카피·문구 작성</t>
        </is>
      </c>
    </row>
    <row r="30">
      <c r="A30" s="11" t="inlineStr">
        <is>
          <t>콘텐츠제작</t>
        </is>
      </c>
      <c r="B30" s="12" t="inlineStr">
        <is>
          <t>CNT-05 SNS 채널 운영·업로드</t>
        </is>
      </c>
    </row>
    <row r="31">
      <c r="A31" s="11" t="inlineStr">
        <is>
          <t>콘텐츠제작</t>
        </is>
      </c>
      <c r="B31" s="12" t="inlineStr">
        <is>
          <t>CNT-06 디자인 시안 피드백</t>
        </is>
      </c>
    </row>
    <row r="32">
      <c r="A32" s="11" t="inlineStr">
        <is>
          <t>콘텐츠제작</t>
        </is>
      </c>
      <c r="B32" s="12" t="inlineStr">
        <is>
          <t>CNT-07 카탈로그·영업자료 제작</t>
        </is>
      </c>
    </row>
    <row r="33">
      <c r="A33" s="11" t="inlineStr">
        <is>
          <t>채널·스토어운영</t>
        </is>
      </c>
      <c r="B33" s="12" t="inlineStr">
        <is>
          <t>CHN-01 상품 등록·수정(옵션/가격)</t>
        </is>
      </c>
    </row>
    <row r="34">
      <c r="A34" s="11" t="inlineStr">
        <is>
          <t>채널·스토어운영</t>
        </is>
      </c>
      <c r="B34" s="12" t="inlineStr">
        <is>
          <t>CHN-02 오픈마켓·종합몰 MD 커뮤니케이션</t>
        </is>
      </c>
    </row>
    <row r="35">
      <c r="A35" s="11" t="inlineStr">
        <is>
          <t>채널·스토어운영</t>
        </is>
      </c>
      <c r="B35" s="12" t="inlineStr">
        <is>
          <t>CHN-03 자사몰 운영·관리</t>
        </is>
      </c>
    </row>
    <row r="36">
      <c r="A36" s="11" t="inlineStr">
        <is>
          <t>채널·스토어운영</t>
        </is>
      </c>
      <c r="B36" s="12" t="inlineStr">
        <is>
          <t>CHN-04 라이브커머스 준비·진행</t>
        </is>
      </c>
    </row>
    <row r="37">
      <c r="A37" s="11" t="inlineStr">
        <is>
          <t>채널·스토어운영</t>
        </is>
      </c>
      <c r="B37" s="12" t="inlineStr">
        <is>
          <t>CHN-05 리뷰·평점 관리</t>
        </is>
      </c>
    </row>
    <row r="38">
      <c r="A38" s="11" t="inlineStr">
        <is>
          <t>채널·스토어운영</t>
        </is>
      </c>
      <c r="B38" s="12" t="inlineStr">
        <is>
          <t>CHN-06 채널별 프로모션 신청·정산조건 확인</t>
        </is>
      </c>
    </row>
    <row r="39">
      <c r="A39" s="11" t="inlineStr">
        <is>
          <t>CS·물류·재고</t>
        </is>
      </c>
      <c r="B39" s="12" t="inlineStr">
        <is>
          <t>OPS-01 고객문의(CS) 응대</t>
        </is>
      </c>
    </row>
    <row r="40">
      <c r="A40" s="11" t="inlineStr">
        <is>
          <t>CS·물류·재고</t>
        </is>
      </c>
      <c r="B40" s="12" t="inlineStr">
        <is>
          <t>OPS-02 반품·교환·클레임 처리</t>
        </is>
      </c>
    </row>
    <row r="41">
      <c r="A41" s="11" t="inlineStr">
        <is>
          <t>CS·물류·재고</t>
        </is>
      </c>
      <c r="B41" s="12" t="inlineStr">
        <is>
          <t>OPS-03 재고 현황 점검·발주 요청</t>
        </is>
      </c>
    </row>
    <row r="42">
      <c r="A42" s="11" t="inlineStr">
        <is>
          <t>CS·물류·재고</t>
        </is>
      </c>
      <c r="B42" s="12" t="inlineStr">
        <is>
          <t>OPS-04 3PL·물류사 커뮤니케이션</t>
        </is>
      </c>
    </row>
    <row r="43">
      <c r="A43" s="11" t="inlineStr">
        <is>
          <t>CS·물류·재고</t>
        </is>
      </c>
      <c r="B43" s="12" t="inlineStr">
        <is>
          <t>OPS-05 출고 이슈 대응</t>
        </is>
      </c>
    </row>
    <row r="44">
      <c r="A44" s="11" t="inlineStr">
        <is>
          <t>CS·물류·재고</t>
        </is>
      </c>
      <c r="B44" s="12" t="inlineStr">
        <is>
          <t>OPS-06 일일 주문,매출 확인</t>
        </is>
      </c>
    </row>
    <row r="45">
      <c r="A45" s="11" t="inlineStr">
        <is>
          <t>데이터·정산</t>
        </is>
      </c>
      <c r="B45" s="12" t="inlineStr">
        <is>
          <t>DAT-01 일/주 매출 데이터 집계</t>
        </is>
      </c>
    </row>
    <row r="46">
      <c r="A46" s="11" t="inlineStr">
        <is>
          <t>데이터·정산</t>
        </is>
      </c>
      <c r="B46" s="12" t="inlineStr">
        <is>
          <t>DAT-02 광고 ROAS·수익성 분석</t>
        </is>
      </c>
    </row>
    <row r="47">
      <c r="A47" s="11" t="inlineStr">
        <is>
          <t>데이터·정산</t>
        </is>
      </c>
      <c r="B47" s="12" t="inlineStr">
        <is>
          <t>DAT-03 채널별 정산·수수료 확인</t>
        </is>
      </c>
    </row>
    <row r="48">
      <c r="A48" s="11" t="inlineStr">
        <is>
          <t>데이터·정산</t>
        </is>
      </c>
      <c r="B48" s="12" t="inlineStr">
        <is>
          <t>DAT-04 리포트·대시보드 작성</t>
        </is>
      </c>
    </row>
    <row r="49">
      <c r="A49" s="11" t="inlineStr">
        <is>
          <t>데이터·정산</t>
        </is>
      </c>
      <c r="B49" s="12" t="inlineStr">
        <is>
          <t>DAT-05 손익(P&amp;L) 관리</t>
        </is>
      </c>
    </row>
    <row r="50">
      <c r="A50" s="11" t="inlineStr">
        <is>
          <t>기획·보고·회의</t>
        </is>
      </c>
      <c r="B50" s="12" t="inlineStr">
        <is>
          <t>MGT-01 팀 내부 회의</t>
        </is>
      </c>
    </row>
    <row r="51">
      <c r="A51" s="11" t="inlineStr">
        <is>
          <t>기획·보고·회의</t>
        </is>
      </c>
      <c r="B51" s="12" t="inlineStr">
        <is>
          <t>MGT-02 본부·전사 회의</t>
        </is>
      </c>
    </row>
    <row r="52">
      <c r="A52" s="11" t="inlineStr">
        <is>
          <t>기획·보고·회의</t>
        </is>
      </c>
      <c r="B52" s="12" t="inlineStr">
        <is>
          <t>MGT-03 타 팀 협업 회의</t>
        </is>
      </c>
    </row>
    <row r="53">
      <c r="A53" s="11" t="inlineStr">
        <is>
          <t>기획·보고·회의</t>
        </is>
      </c>
      <c r="B53" s="12" t="inlineStr">
        <is>
          <t>MGT-04 상급자 보고·결재</t>
        </is>
      </c>
    </row>
    <row r="54">
      <c r="A54" s="11" t="inlineStr">
        <is>
          <t>기획·보고·회의</t>
        </is>
      </c>
      <c r="B54" s="12" t="inlineStr">
        <is>
          <t>MGT-05 기획안·제안서 작성</t>
        </is>
      </c>
    </row>
    <row r="55">
      <c r="A55" s="11" t="inlineStr">
        <is>
          <t>기획·보고·회의</t>
        </is>
      </c>
      <c r="B55" s="12" t="inlineStr">
        <is>
          <t>MGT-06 팀원 업무·산출물 검토·피드백</t>
        </is>
      </c>
    </row>
    <row r="56">
      <c r="A56" s="11" t="inlineStr">
        <is>
          <t>기획·보고·회의</t>
        </is>
      </c>
      <c r="B56" s="12" t="inlineStr">
        <is>
          <t>MGT-07 업무 인수인계·이관</t>
        </is>
      </c>
    </row>
    <row r="57">
      <c r="A57" s="11" t="inlineStr">
        <is>
          <t>사내시스템·자동화</t>
        </is>
      </c>
      <c r="B57" s="12" t="inlineStr">
        <is>
          <t>SYS-01 사내 시스템·앱 기획/개선 요청</t>
        </is>
      </c>
    </row>
    <row r="58">
      <c r="A58" s="11" t="inlineStr">
        <is>
          <t>파트너·대리점관리</t>
        </is>
      </c>
      <c r="B58" s="12" t="inlineStr">
        <is>
          <t>PTR-01 대리점·파트너사 방문·미팅</t>
        </is>
      </c>
    </row>
    <row r="59">
      <c r="A59" s="11" t="inlineStr">
        <is>
          <t>파트너·대리점관리</t>
        </is>
      </c>
      <c r="B59" s="12" t="inlineStr">
        <is>
          <t>PTR-02 대리점·파트너 인터뷰·VOC 수집</t>
        </is>
      </c>
    </row>
    <row r="60">
      <c r="A60" s="11" t="inlineStr">
        <is>
          <t>기타·행정</t>
        </is>
      </c>
      <c r="B60" s="12" t="inlineStr">
        <is>
          <t>ETC-01 메일·메신저 확인 및 회신</t>
        </is>
      </c>
    </row>
    <row r="61">
      <c r="A61" s="11" t="inlineStr">
        <is>
          <t>기타·행정</t>
        </is>
      </c>
      <c r="B61" s="12" t="inlineStr">
        <is>
          <t>ETC-02 행정·경비·구매 처리</t>
        </is>
      </c>
    </row>
    <row r="62">
      <c r="A62" s="11" t="inlineStr">
        <is>
          <t>기타·행정</t>
        </is>
      </c>
      <c r="B62" s="12" t="inlineStr">
        <is>
          <t>ETC-03 채용·교육·인사</t>
        </is>
      </c>
    </row>
    <row r="63">
      <c r="A63" s="11" t="inlineStr">
        <is>
          <t>기타·행정</t>
        </is>
      </c>
      <c r="B63" s="12" t="inlineStr">
        <is>
          <t>ETC-04 이동·외근</t>
        </is>
      </c>
    </row>
    <row r="64">
      <c r="A64" s="11" t="inlineStr">
        <is>
          <t>기타·행정</t>
        </is>
      </c>
      <c r="B64" s="12" t="inlineStr">
        <is>
          <t>ETC-05 휴게·점심</t>
        </is>
      </c>
    </row>
    <row r="66">
      <c r="A66" s="21" t="inlineStr">
        <is>
          <t>■ 신규 추가 분류코드 — 2026-08-10~14 김송희(브랜드커머스) 업무일지 반영분</t>
        </is>
      </c>
    </row>
    <row r="67">
      <c r="A67" s="22" t="inlineStr">
        <is>
          <t>업무 대분류</t>
        </is>
      </c>
      <c r="B67" s="22" t="inlineStr">
        <is>
          <t>업무 중분류 (신규 코드)</t>
        </is>
      </c>
      <c r="D67" s="22" t="inlineStr">
        <is>
          <t>추가 사유</t>
        </is>
      </c>
    </row>
    <row r="68" ht="60" customHeight="1" s="26">
      <c r="A68" s="23" t="inlineStr">
        <is>
          <t>제조·생산관리</t>
        </is>
      </c>
      <c r="B68" s="23" t="inlineStr">
        <is>
          <t>MFG-08 MSDS·라벨 등 제품 표시사항 제작</t>
        </is>
      </c>
      <c r="D68" s="24" t="inlineStr">
        <is>
          <t>MSDS·라벨 등 제품 표시사항 제작 업무가 기존 MFG-05(수입통관·인증)로 포괄되지 않아 신설</t>
        </is>
      </c>
    </row>
    <row r="69" ht="72" customHeight="1" s="26">
      <c r="A69" s="23" t="inlineStr">
        <is>
          <t>마케팅·광고운영</t>
        </is>
      </c>
      <c r="B69" s="23" t="inlineStr">
        <is>
          <t>MKT-08 제휴마케팅(링크프라이스 등) 운영·성과확인</t>
        </is>
      </c>
      <c r="D69" s="24" t="inlineStr">
        <is>
          <t>링크프라이스 등 제휴(CPS) 채널 운영·주간보고가 MKT-01/02(직접 광고 집행)와 성격이 달라 신설</t>
        </is>
      </c>
    </row>
    <row r="70" ht="60" customHeight="1" s="26">
      <c r="A70" s="23" t="inlineStr">
        <is>
          <t>콘텐츠제작</t>
        </is>
      </c>
      <c r="B70" s="23" t="inlineStr">
        <is>
          <t>CNT-07 카탈로그·영업자료 제작</t>
        </is>
      </c>
      <c r="D70" s="24" t="inlineStr">
        <is>
          <t>부자재 소개 카달로그 등 오프라인·영업용 자료 제작이 CNT-01(상세페이지)과 달라 신설</t>
        </is>
      </c>
    </row>
    <row r="71" ht="48" customHeight="1" s="26">
      <c r="A71" s="23" t="inlineStr">
        <is>
          <t>CS·물류·재고</t>
        </is>
      </c>
      <c r="B71" s="23" t="inlineStr">
        <is>
          <t>OPS-06 일일 주문,매출 확인</t>
        </is>
      </c>
      <c r="D71" s="24" t="inlineStr">
        <is>
          <t>매일 반복되는 주문건 확인 업무가 기존 OPS-01~05에 없어 신설</t>
        </is>
      </c>
    </row>
    <row r="72" ht="48" customHeight="1" s="26">
      <c r="A72" s="23" t="inlineStr">
        <is>
          <t>기획·보고·회의</t>
        </is>
      </c>
      <c r="B72" s="23" t="inlineStr">
        <is>
          <t>MGT-06 팀원 업무·산출물 검토·피드백</t>
        </is>
      </c>
      <c r="D72" s="24" t="inlineStr">
        <is>
          <t>리드 직무의 핵심인 팀원 산출물 검토·피드백·컨펌이 MGT-01~05에 없어 신설</t>
        </is>
      </c>
    </row>
    <row r="73" ht="48" customHeight="1" s="26">
      <c r="A73" s="23" t="inlineStr">
        <is>
          <t>기획·보고·회의</t>
        </is>
      </c>
      <c r="B73" s="23" t="inlineStr">
        <is>
          <t>MGT-07 업무 인수인계·이관</t>
        </is>
      </c>
      <c r="D73" s="24" t="inlineStr">
        <is>
          <t>조직 개편에 따른 업무 인수인계(그로홈 등)를 기록할 코드가 없어 신설</t>
        </is>
      </c>
    </row>
    <row r="74" ht="60" customHeight="1" s="26">
      <c r="A74" s="23" t="inlineStr">
        <is>
          <t>사내시스템·자동화 ★신규 대분류</t>
        </is>
      </c>
      <c r="B74" s="23" t="inlineStr">
        <is>
          <t>SYS-01 사내 시스템·앱 기획/개선 요청</t>
        </is>
      </c>
      <c r="D74" s="24" t="inlineStr">
        <is>
          <t>소싱앱·CRM센터 등 사내 시스템 기획/개선 요청 업무를 담을 대분류·코드가 없어 신설</t>
        </is>
      </c>
    </row>
    <row r="75" ht="48" customHeight="1" s="26">
      <c r="A75" s="23" t="inlineStr">
        <is>
          <t>파트너·대리점관리 ★신규 대분류</t>
        </is>
      </c>
      <c r="B75" s="23" t="inlineStr">
        <is>
          <t>PTR-01 대리점·파트너사 방문·미팅</t>
        </is>
      </c>
      <c r="D75" s="24" t="inlineStr">
        <is>
          <t>대리점·파트너사 대상 방문/미팅 업무를 담을 대분류·코드가 없어 신설</t>
        </is>
      </c>
    </row>
    <row r="76" ht="48" customHeight="1" s="26">
      <c r="A76" s="23" t="inlineStr">
        <is>
          <t>파트너·대리점관리 ★신규 대분류</t>
        </is>
      </c>
      <c r="B76" s="23" t="inlineStr">
        <is>
          <t>PTR-02 대리점·파트너 인터뷰·VOC 수집</t>
        </is>
      </c>
      <c r="D76" s="24" t="inlineStr">
        <is>
          <t>대리점 인터뷰·VOC 수집(질문지 제작·현장 인터뷰)을 담을 코드가 없어 신설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/>
  </sheetPr>
  <dimension ref="A1:R108"/>
  <sheetViews>
    <sheetView tabSelected="1" zoomScaleNormal="100" workbookViewId="0">
      <pane xSplit="2" ySplit="6" topLeftCell="C7" activePane="bottomRight" state="frozen"/>
      <selection pane="topRight" activeCell="C1" sqref="C1"/>
      <selection pane="bottomLeft" activeCell="A8" sqref="A8"/>
      <selection pane="bottomRight" activeCell="G21" sqref="G21"/>
    </sheetView>
  </sheetViews>
  <sheetFormatPr baseColWidth="8" defaultColWidth="8.7109375" defaultRowHeight="15"/>
  <cols>
    <col width="17.5703125" customWidth="1" style="26" min="1" max="1"/>
    <col width="25" customWidth="1" style="26" min="2" max="2"/>
    <col width="7" customWidth="1" style="26" min="3" max="5"/>
    <col width="16" customWidth="1" style="26" min="6" max="6"/>
    <col width="44" customWidth="1" style="26" min="7" max="7"/>
    <col width="64.85546875" customWidth="1" style="26" min="8" max="8"/>
    <col width="34" customWidth="1" style="26" min="9" max="9"/>
    <col width="36.85546875" customWidth="1" style="26" min="10" max="10"/>
    <col width="23" customWidth="1" style="26" min="11" max="11"/>
    <col width="16" customWidth="1" style="26" min="12" max="12"/>
    <col width="18" customWidth="1" style="26" min="13" max="13"/>
    <col width="28" customWidth="1" style="26" min="14" max="14"/>
    <col width="12" customWidth="1" style="26" min="15" max="15"/>
    <col width="18" customWidth="1" style="26" min="16" max="16"/>
    <col width="16" customWidth="1" style="26" min="17" max="17"/>
    <col width="26" customWidth="1" style="26" min="18" max="18"/>
  </cols>
  <sheetData>
    <row r="1" ht="25.5" customHeight="1" s="26">
      <c r="A1" s="33" t="inlineStr">
        <is>
          <t>커머스 본부 일간업무일지 (주간) — 30분 단위 기록</t>
        </is>
      </c>
    </row>
    <row r="2">
      <c r="A2" s="32" t="inlineStr">
        <is>
          <t>소속팀</t>
        </is>
      </c>
      <c r="B2" s="30" t="inlineStr">
        <is>
          <t>브랜드커머스</t>
        </is>
      </c>
      <c r="C2" s="32" t="inlineStr">
        <is>
          <t>이름</t>
        </is>
      </c>
      <c r="D2" s="30" t="inlineStr">
        <is>
          <t>김송희</t>
        </is>
      </c>
      <c r="F2" s="32" t="inlineStr">
        <is>
          <t>직위/직무</t>
        </is>
      </c>
      <c r="G2" s="30" t="inlineStr">
        <is>
          <t>브랜드커머스, 모여라딜 리드</t>
        </is>
      </c>
    </row>
    <row r="3">
      <c r="A3" s="15" t="inlineStr">
        <is>
          <t>기준 주(월요일)</t>
        </is>
      </c>
      <c r="B3" s="52" t="n">
        <v>46244</v>
      </c>
      <c r="C3" s="32" t="inlineStr">
        <is>
          <t>작성일</t>
        </is>
      </c>
      <c r="D3" s="52" t="n">
        <v>46248</v>
      </c>
      <c r="F3" s="32" t="inlineStr">
        <is>
          <t>팀장 확인</t>
        </is>
      </c>
      <c r="G3" s="34" t="n"/>
    </row>
    <row r="4" ht="30" customHeight="1" s="26">
      <c r="A4" s="31" t="inlineStr">
        <is>
          <t>작성법 ▶ B3(월요일 날짜)만 입력하면 일자가 자동 계산됩니다. 6~7열은 반드시 드롭다운에서 선택하세요(자유입력 시 중복분석 불가). 빈 시간대가 없도록 채우고, 야근·조기출근은 각 요일 하단 [추가] 행에 시간을 직접 입력하세요. 7행은 작성 예시입니다(작성 시 삭제).</t>
        </is>
      </c>
    </row>
    <row r="5" ht="30" customHeight="1" s="26">
      <c r="A5" s="35" t="inlineStr">
        <is>
          <t>※ 작성 근거 ▶ 본 시트는 POUR OS 주간 업무보드(2026-08-10~14, 김송희) 기록을 기준으로 작성했습니다. 보드에 항목으로 잡히지 않는 ETC-01(메일·메신저 확인)·ETC-05(휴게·점심), 그리고 각 업무의 시작/종료 시각과 소요시간은 09:00~18:00 근무 기준 추정치이므로 본인 확인 후 조정해 주세요. 여러 날 이어진 진행중 업무 2건(DAT-04 단가·공헌이익 대시보드 / MFG-08 코트재 MSDS 31종)은 본인 확인에 따라 화·수·목에만 배분했습니다(월요일은 타 업무 11건으로 포화, 금요일은 부산 외근).</t>
        </is>
      </c>
    </row>
    <row r="6" ht="33.75" customFormat="1" customHeight="1" s="41">
      <c r="A6" s="40" t="inlineStr">
        <is>
          <t>일자</t>
        </is>
      </c>
      <c r="B6" s="40" t="inlineStr">
        <is>
          <t>요일</t>
        </is>
      </c>
      <c r="C6" s="40" t="inlineStr">
        <is>
          <t>시작</t>
        </is>
      </c>
      <c r="D6" s="40" t="inlineStr">
        <is>
          <t>종료</t>
        </is>
      </c>
      <c r="E6" s="40" t="inlineStr">
        <is>
          <t>소요
(분)</t>
        </is>
      </c>
      <c r="F6" s="40" t="inlineStr">
        <is>
          <t>업무 대분류</t>
        </is>
      </c>
      <c r="G6" s="40" t="inlineStr">
        <is>
          <t>업무 중분류 (드롭다운 필수)</t>
        </is>
      </c>
      <c r="H6" s="40" t="inlineStr">
        <is>
          <t>업무 내용 (구체적으로)</t>
        </is>
      </c>
      <c r="I6" s="40" t="inlineStr">
        <is>
          <t>대상 브랜드/상품/채널</t>
        </is>
      </c>
      <c r="J6" s="42" t="inlineStr">
        <is>
          <t>사용 시스템·툴</t>
        </is>
      </c>
      <c r="K6" s="42" t="inlineStr">
        <is>
          <t>사용 시스템·툴 링크</t>
        </is>
      </c>
      <c r="L6" s="40" t="inlineStr">
        <is>
          <t>협업 대상 (사내)</t>
        </is>
      </c>
      <c r="M6" s="40" t="inlineStr">
        <is>
          <t>협업 대상 (사외/거래처)</t>
        </is>
      </c>
      <c r="N6" s="40" t="inlineStr">
        <is>
          <t>산출물</t>
        </is>
      </c>
      <c r="O6" s="40" t="inlineStr">
        <is>
          <t>반복주기</t>
        </is>
      </c>
      <c r="P6" s="40" t="inlineStr">
        <is>
          <t>업무 성격</t>
        </is>
      </c>
      <c r="Q6" s="40" t="inlineStr">
        <is>
          <t>타팀 중복예상</t>
        </is>
      </c>
      <c r="R6" s="40" t="inlineStr">
        <is>
          <t>개선·자동화 아이디어</t>
        </is>
      </c>
    </row>
    <row r="7" ht="19.5" customHeight="1" s="26">
      <c r="A7" s="53">
        <f>IF($B$3="","",$B$3+0)</f>
        <v/>
      </c>
      <c r="B7" s="16" t="inlineStr">
        <is>
          <t>월</t>
        </is>
      </c>
      <c r="C7" s="54" t="n">
        <v>0.375</v>
      </c>
      <c r="D7" s="54" t="n">
        <v>0.3958333333333333</v>
      </c>
      <c r="E7" s="5">
        <f>IF(OR(C7="",D7=""),"",(D7-C7)*1440)</f>
        <v/>
      </c>
      <c r="F7" s="8" t="inlineStr">
        <is>
          <t>기타·행정</t>
        </is>
      </c>
      <c r="G7" s="8" t="inlineStr">
        <is>
          <t>ETC-01 메일·메신저 확인 및 회신</t>
        </is>
      </c>
      <c r="H7" s="9" t="inlineStr">
        <is>
          <t>출근 후 메일·메신저·업무보드 확인 및 회신</t>
        </is>
      </c>
      <c r="I7" s="8" t="inlineStr">
        <is>
          <t>전사</t>
        </is>
      </c>
      <c r="J7" s="8" t="inlineStr">
        <is>
          <t>CRM센터-POUR OS(업무보드)</t>
        </is>
      </c>
      <c r="K7" s="43" t="inlineStr">
        <is>
          <t>https://pourstorecrm.web.app/pour-os</t>
        </is>
      </c>
      <c r="L7" s="8" t="n"/>
      <c r="M7" s="8" t="n"/>
      <c r="N7" s="8" t="inlineStr">
        <is>
          <t>회신 처리</t>
        </is>
      </c>
      <c r="O7" s="8" t="inlineStr">
        <is>
          <t>매일</t>
        </is>
      </c>
      <c r="P7" s="8" t="inlineStr">
        <is>
          <t>정형(매뉴얼화 가능)</t>
        </is>
      </c>
      <c r="Q7" s="8" t="inlineStr">
        <is>
          <t>예 - 확실히 중복</t>
        </is>
      </c>
      <c r="R7" s="9" t="inlineStr">
        <is>
          <t>팀별 요청·공지를 업무보드 알림 하나로 일원화</t>
        </is>
      </c>
    </row>
    <row r="8" ht="19.5" customHeight="1" s="26">
      <c r="A8" s="53">
        <f>IF($B$3="","",$B$3+0)</f>
        <v/>
      </c>
      <c r="B8" s="6" t="inlineStr">
        <is>
          <t>월</t>
        </is>
      </c>
      <c r="C8" s="54" t="n">
        <v>0.3958333333333333</v>
      </c>
      <c r="D8" s="54" t="n">
        <v>0.4166666666666667</v>
      </c>
      <c r="E8" s="5">
        <f>IF(OR(C8="",D8=""),"",(D8-C8)*1440)</f>
        <v/>
      </c>
      <c r="F8" s="8" t="inlineStr">
        <is>
          <t>데이터·정산</t>
        </is>
      </c>
      <c r="G8" s="8" t="inlineStr">
        <is>
          <t>OPS-06 일일 주문,매출 확인</t>
        </is>
      </c>
      <c r="H8" s="9" t="inlineStr">
        <is>
          <t>금일 주문,매출 확인</t>
        </is>
      </c>
      <c r="I8" s="8" t="inlineStr">
        <is>
          <t>POUR스토어 / 자사몰·오픈마켓</t>
        </is>
      </c>
      <c r="J8" s="8" t="inlineStr">
        <is>
          <t>사방넷</t>
        </is>
      </c>
      <c r="L8" s="8" t="n"/>
      <c r="M8" s="8" t="n"/>
      <c r="N8" s="8" t="inlineStr">
        <is>
          <t>일일 주문 확인 내역</t>
        </is>
      </c>
      <c r="O8" s="8" t="inlineStr">
        <is>
          <t>매일</t>
        </is>
      </c>
      <c r="P8" s="8" t="inlineStr">
        <is>
          <t>정형(매뉴얼화 가능)</t>
        </is>
      </c>
      <c r="Q8" s="8" t="inlineStr">
        <is>
          <t>예 - 확실히 중복</t>
        </is>
      </c>
      <c r="R8" s="9" t="inlineStr">
        <is>
          <t>채널별 주문을 통합 주문판으로 자동 취합</t>
        </is>
      </c>
    </row>
    <row r="9" ht="19.5" customHeight="1" s="26">
      <c r="A9" s="53">
        <f>IF($B$3="","",$B$3+0)</f>
        <v/>
      </c>
      <c r="B9" s="6" t="inlineStr">
        <is>
          <t>월</t>
        </is>
      </c>
      <c r="C9" s="54" t="n">
        <v>0.4166666666666667</v>
      </c>
      <c r="D9" s="54" t="n">
        <v>0.4583333333333333</v>
      </c>
      <c r="E9" s="5">
        <f>IF(OR(C9="",D9=""),"",(D9-C9)*1440)</f>
        <v/>
      </c>
      <c r="F9" s="8" t="inlineStr">
        <is>
          <t>마케팅·광고운영</t>
        </is>
      </c>
      <c r="G9" s="8" t="inlineStr">
        <is>
          <t>MKT-08 제휴마케팅(링크프라이스 등) 운영·성과확인</t>
        </is>
      </c>
      <c r="H9" s="9" t="inlineStr">
        <is>
          <t>링크프라이스 제휴광고 집행 현황 확인 및 신제품 검색 시 상위노출 여부 점검</t>
        </is>
      </c>
      <c r="I9" s="8" t="inlineStr">
        <is>
          <t>POUR스토어 / 링크프라이스·네이버쇼핑</t>
        </is>
      </c>
      <c r="J9" s="8" t="inlineStr">
        <is>
          <t>링크프라이스 관리자, 네이버쇼핑</t>
        </is>
      </c>
      <c r="L9" s="8" t="n"/>
      <c r="M9" s="8" t="inlineStr">
        <is>
          <t>링크프라이스</t>
        </is>
      </c>
      <c r="N9" s="8" t="inlineStr">
        <is>
          <t>제휴광고 현황 점검 메모</t>
        </is>
      </c>
      <c r="O9" s="8" t="inlineStr">
        <is>
          <t>주 1회</t>
        </is>
      </c>
      <c r="P9" s="8" t="inlineStr">
        <is>
          <t>반정형</t>
        </is>
      </c>
      <c r="Q9" s="8" t="inlineStr">
        <is>
          <t>아마도 중복</t>
        </is>
      </c>
      <c r="R9" s="9" t="inlineStr">
        <is>
          <t>제휴·검색광고 성과를 본부 공용 대시보드로 자동 수집</t>
        </is>
      </c>
    </row>
    <row r="10" ht="19.5" customHeight="1" s="26">
      <c r="A10" s="53">
        <f>IF($B$3="","",$B$3+0)</f>
        <v/>
      </c>
      <c r="B10" s="6" t="inlineStr">
        <is>
          <t>월</t>
        </is>
      </c>
      <c r="C10" s="54" t="n">
        <v>0.4583333333333333</v>
      </c>
      <c r="D10" s="54" t="n">
        <v>0.4791666666666667</v>
      </c>
      <c r="E10" s="5">
        <f>IF(OR(C10="",D10=""),"",(D10-C10)*1440)</f>
        <v/>
      </c>
      <c r="F10" s="8" t="inlineStr">
        <is>
          <t>마케팅·광고운영</t>
        </is>
      </c>
      <c r="G10" s="8" t="inlineStr">
        <is>
          <t>MKT-05 프로모션·기획전 기획</t>
        </is>
      </c>
      <c r="H10" s="9" t="inlineStr">
        <is>
          <t>8월 프로모션 기획 요청 — 민지님께 기획 방향 전달 및 작성 요청</t>
        </is>
      </c>
      <c r="I10" s="8" t="inlineStr">
        <is>
          <t>POUR스토어</t>
        </is>
      </c>
      <c r="J10" s="8" t="inlineStr">
        <is>
          <t>CRM센터-POUR OS(업무보드)</t>
        </is>
      </c>
      <c r="K10" s="43" t="inlineStr">
        <is>
          <t>https://pourstorecrm.web.app/pour-os</t>
        </is>
      </c>
      <c r="L10" s="8" t="inlineStr">
        <is>
          <t>김민지</t>
        </is>
      </c>
      <c r="M10" s="8" t="n"/>
      <c r="N10" s="8" t="inlineStr">
        <is>
          <t>프로모션 기획 요청서</t>
        </is>
      </c>
      <c r="O10" s="8" t="inlineStr">
        <is>
          <t>월 1회</t>
        </is>
      </c>
      <c r="P10" s="8" t="inlineStr">
        <is>
          <t>반정형</t>
        </is>
      </c>
      <c r="Q10" s="8" t="inlineStr">
        <is>
          <t>아마도 중복</t>
        </is>
      </c>
      <c r="R10" s="9" t="inlineStr">
        <is>
          <t>프로모션 기획 요청 양식 표준화 + 본부 공용 프로모션 캘린더</t>
        </is>
      </c>
    </row>
    <row r="11" ht="19.5" customHeight="1" s="26">
      <c r="A11" s="53">
        <f>IF($B$3="","",$B$3+0)</f>
        <v/>
      </c>
      <c r="B11" s="6" t="inlineStr">
        <is>
          <t>월</t>
        </is>
      </c>
      <c r="C11" s="54" t="n">
        <v>0.4791666666666667</v>
      </c>
      <c r="D11" s="54" t="n">
        <v>0.5</v>
      </c>
      <c r="E11" s="5">
        <f>IF(OR(C11="",D11=""),"",(D11-C11)*1440)</f>
        <v/>
      </c>
      <c r="F11" s="8" t="inlineStr">
        <is>
          <t>파트너·대리점관리</t>
        </is>
      </c>
      <c r="G11" s="8" t="inlineStr">
        <is>
          <t>PTR-02 대리점·파트너 인터뷰·VOC 수집</t>
        </is>
      </c>
      <c r="H11" s="9" t="inlineStr">
        <is>
          <t>금요일 부산 대리점 방문 미팅·인터뷰 질문지 제작 요청(란님께)</t>
        </is>
      </c>
      <c r="I11" s="8" t="inlineStr">
        <is>
          <t>대리점(가나랜드·경남지사)</t>
        </is>
      </c>
      <c r="J11" s="8" t="inlineStr">
        <is>
          <t>CRM센터-POUR OS(업무보드)</t>
        </is>
      </c>
      <c r="K11" s="43" t="inlineStr">
        <is>
          <t>https://pourstorecrm.web.app/pour-os</t>
        </is>
      </c>
      <c r="L11" s="8" t="inlineStr">
        <is>
          <t>이란</t>
        </is>
      </c>
      <c r="M11" s="8" t="n"/>
      <c r="N11" s="8" t="inlineStr">
        <is>
          <t>대리점 인터뷰 질문지</t>
        </is>
      </c>
      <c r="O11" s="8" t="inlineStr">
        <is>
          <t>분기/비정기</t>
        </is>
      </c>
      <c r="P11" s="8" t="inlineStr">
        <is>
          <t>반정형</t>
        </is>
      </c>
      <c r="Q11" s="8" t="inlineStr">
        <is>
          <t>모름</t>
        </is>
      </c>
      <c r="R11" s="9" t="inlineStr">
        <is>
          <t>대리점 인터뷰 질문지 표준 템플릿화</t>
        </is>
      </c>
    </row>
    <row r="12" ht="19.5" customHeight="1" s="26">
      <c r="A12" s="53">
        <f>IF($B$3="","",$B$3+0)</f>
        <v/>
      </c>
      <c r="B12" s="6" t="inlineStr">
        <is>
          <t>월</t>
        </is>
      </c>
      <c r="C12" s="54" t="n">
        <v>0.5</v>
      </c>
      <c r="D12" s="54" t="n">
        <v>0.5416666666666666</v>
      </c>
      <c r="E12" s="5">
        <f>IF(OR(C12="",D12=""),"",(D12-C12)*1440)</f>
        <v/>
      </c>
      <c r="F12" s="8" t="inlineStr">
        <is>
          <t>기타·행정</t>
        </is>
      </c>
      <c r="G12" s="8" t="inlineStr">
        <is>
          <t>ETC-05 휴게·점심</t>
        </is>
      </c>
      <c r="H12" s="9" t="inlineStr">
        <is>
          <t>점심 및 휴게</t>
        </is>
      </c>
      <c r="I12" s="8" t="n"/>
      <c r="J12" s="8" t="n"/>
      <c r="L12" s="8" t="n"/>
      <c r="M12" s="8" t="n"/>
      <c r="N12" s="8" t="n"/>
      <c r="O12" s="8" t="inlineStr">
        <is>
          <t>매일</t>
        </is>
      </c>
      <c r="P12" s="8" t="inlineStr">
        <is>
          <t>정형(매뉴얼화 가능)</t>
        </is>
      </c>
      <c r="Q12" s="8" t="inlineStr">
        <is>
          <t>예 - 확실히 중복</t>
        </is>
      </c>
      <c r="R12" s="9" t="n"/>
    </row>
    <row r="13" ht="19.5" customHeight="1" s="26">
      <c r="A13" s="53">
        <f>IF($B$3="","",$B$3+0)</f>
        <v/>
      </c>
      <c r="B13" s="6" t="inlineStr">
        <is>
          <t>월</t>
        </is>
      </c>
      <c r="C13" s="54" t="n">
        <v>0.5416666666666666</v>
      </c>
      <c r="D13" s="54" t="n">
        <v>0.5625</v>
      </c>
      <c r="E13" s="5">
        <f>IF(OR(C13="",D13=""),"",(D13-C13)*1440)</f>
        <v/>
      </c>
      <c r="F13" s="8" t="inlineStr">
        <is>
          <t>사내시스템·자동화</t>
        </is>
      </c>
      <c r="G13" s="8" t="inlineStr">
        <is>
          <t>SYS-01 사내 시스템·앱 기획/개선 요청</t>
        </is>
      </c>
      <c r="H13" s="9" t="inlineStr">
        <is>
          <t>CRM센터 NPS 기능 개선 요청 — 채림님께 개선 항목 정리·전달</t>
        </is>
      </c>
      <c r="I13" s="8" t="inlineStr">
        <is>
          <t>CRM센터</t>
        </is>
      </c>
      <c r="J13" s="8" t="inlineStr">
        <is>
          <t>CRM센터</t>
        </is>
      </c>
      <c r="K13" s="43" t="inlineStr">
        <is>
          <t>https://pourstorecrm.web.app/pour-os</t>
        </is>
      </c>
      <c r="L13" s="8" t="inlineStr">
        <is>
          <t>양채림</t>
        </is>
      </c>
      <c r="M13" s="8" t="n"/>
      <c r="N13" s="8" t="inlineStr">
        <is>
          <t>기능 개선 요청 내역</t>
        </is>
      </c>
      <c r="O13" s="8" t="inlineStr">
        <is>
          <t>주 1회</t>
        </is>
      </c>
      <c r="P13" s="8" t="inlineStr">
        <is>
          <t>반정형</t>
        </is>
      </c>
      <c r="Q13" s="8" t="inlineStr">
        <is>
          <t>모름</t>
        </is>
      </c>
      <c r="R13" s="9" t="inlineStr">
        <is>
          <t>사내 시스템 개선 요청을 티켓(이슈보드)으로 단일 창구화</t>
        </is>
      </c>
    </row>
    <row r="14" ht="19.5" customHeight="1" s="26">
      <c r="A14" s="53">
        <f>IF($B$3="","",$B$3+0)</f>
        <v/>
      </c>
      <c r="B14" s="6" t="inlineStr">
        <is>
          <t>월</t>
        </is>
      </c>
      <c r="C14" s="54" t="n">
        <v>0.5625</v>
      </c>
      <c r="D14" s="54" t="n">
        <v>0.5833333333333334</v>
      </c>
      <c r="E14" s="5">
        <f>IF(OR(C14="",D14=""),"",(D14-C14)*1440)</f>
        <v/>
      </c>
      <c r="F14" s="8" t="inlineStr">
        <is>
          <t>사내시스템·자동화</t>
        </is>
      </c>
      <c r="G14" s="8" t="inlineStr">
        <is>
          <t>SYS-01 사내 시스템·앱 기획/개선 요청</t>
        </is>
      </c>
      <c r="H14" s="9" t="inlineStr">
        <is>
          <t>소싱앱 기능 고도화 요청-운전하면서도 쉽고빠르게 사용가능하게(정하님께)</t>
        </is>
      </c>
      <c r="I14" s="8" t="inlineStr">
        <is>
          <t>소싱앱</t>
        </is>
      </c>
      <c r="J14" s="8" t="inlineStr">
        <is>
          <t>소싱앱</t>
        </is>
      </c>
      <c r="K14" s="44" t="inlineStr">
        <is>
          <t>소싱 관리 · 모여라딜 (moyeoradeal-sourcing.pages.dev)</t>
        </is>
      </c>
      <c r="L14" s="8" t="inlineStr">
        <is>
          <t>용정하</t>
        </is>
      </c>
      <c r="M14" s="8" t="n"/>
      <c r="N14" s="8" t="inlineStr">
        <is>
          <t>기능 고도화 요청 내역</t>
        </is>
      </c>
      <c r="O14" s="8" t="inlineStr">
        <is>
          <t>주 1회</t>
        </is>
      </c>
      <c r="P14" s="8" t="inlineStr">
        <is>
          <t>반정형</t>
        </is>
      </c>
      <c r="Q14" s="8" t="inlineStr">
        <is>
          <t>모름</t>
        </is>
      </c>
      <c r="R14" s="9" t="inlineStr">
        <is>
          <t>사내 시스템 개선 요청을 티켓(이슈보드)으로 단일 창구화</t>
        </is>
      </c>
    </row>
    <row r="15" ht="19.5" customHeight="1" s="26">
      <c r="A15" s="53">
        <f>IF($B$3="","",$B$3+0)</f>
        <v/>
      </c>
      <c r="B15" s="6" t="inlineStr">
        <is>
          <t>월</t>
        </is>
      </c>
      <c r="C15" s="54" t="n">
        <v>0.5833333333333334</v>
      </c>
      <c r="D15" s="54" t="n">
        <v>0.625</v>
      </c>
      <c r="E15" s="5">
        <f>IF(OR(C15="",D15=""),"",(D15-C15)*1440)</f>
        <v/>
      </c>
      <c r="F15" s="8" t="inlineStr">
        <is>
          <t>사내시스템·자동화</t>
        </is>
      </c>
      <c r="G15" s="8" t="inlineStr">
        <is>
          <t>SYS-01 사내 시스템·앱 기획/개선 요청</t>
        </is>
      </c>
      <c r="H15" s="9" t="inlineStr">
        <is>
          <t>소싱앱 UX/UI 개선 — 정하님 추가 고도화 건 화면별 피드백 작성</t>
        </is>
      </c>
      <c r="I15" s="8" t="inlineStr">
        <is>
          <t>소싱앱</t>
        </is>
      </c>
      <c r="J15" s="8" t="inlineStr">
        <is>
          <t>소싱앱</t>
        </is>
      </c>
      <c r="K15" s="44" t="inlineStr">
        <is>
          <t>소싱 관리 · 모여라딜 (moyeoradeal-sourcing.pages.dev)</t>
        </is>
      </c>
      <c r="L15" s="8" t="inlineStr">
        <is>
          <t>용정하</t>
        </is>
      </c>
      <c r="M15" s="8" t="n"/>
      <c r="N15" s="8" t="inlineStr">
        <is>
          <t>UX/UI 개선 피드백</t>
        </is>
      </c>
      <c r="O15" s="8" t="inlineStr">
        <is>
          <t>주 2~3회</t>
        </is>
      </c>
      <c r="P15" s="8" t="inlineStr">
        <is>
          <t>비정형(판단 필요)</t>
        </is>
      </c>
      <c r="Q15" s="8" t="inlineStr">
        <is>
          <t>모름</t>
        </is>
      </c>
      <c r="R15" s="9" t="inlineStr">
        <is>
          <t>개선 요청·피드백 이력을 앱 내 이슈보드로 관리해 재설명 시간 제거</t>
        </is>
      </c>
    </row>
    <row r="16" ht="19.5" customHeight="1" s="26">
      <c r="A16" s="53">
        <f>IF($B$3="","",$B$3+0)</f>
        <v/>
      </c>
      <c r="B16" s="6" t="inlineStr">
        <is>
          <t>월</t>
        </is>
      </c>
      <c r="C16" s="54" t="n">
        <v>0.625</v>
      </c>
      <c r="D16" s="54" t="n">
        <v>0.6458333333333334</v>
      </c>
      <c r="E16" s="5">
        <f>IF(OR(C16="",D16=""),"",(D16-C16)*1440)</f>
        <v/>
      </c>
      <c r="F16" s="8" t="inlineStr">
        <is>
          <t>채널·스토어운영</t>
        </is>
      </c>
      <c r="G16" s="8" t="inlineStr">
        <is>
          <t>CHN-01 상품 등록·수정(옵션/가격)</t>
        </is>
      </c>
      <c r="H16" s="9" t="inlineStr">
        <is>
          <t>가나랜드(대리점) 스마트스토어 상품등록 요청(란님께)</t>
        </is>
      </c>
      <c r="I16" s="8" t="inlineStr">
        <is>
          <t>가나랜드 / 스마트스토어</t>
        </is>
      </c>
      <c r="J16" s="8" t="inlineStr">
        <is>
          <t>스마트스토어센터</t>
        </is>
      </c>
      <c r="L16" s="8" t="inlineStr">
        <is>
          <t>이란</t>
        </is>
      </c>
      <c r="M16" s="8" t="inlineStr">
        <is>
          <t>가나랜드</t>
        </is>
      </c>
      <c r="N16" s="8" t="inlineStr">
        <is>
          <t>상품등록 요청 내역</t>
        </is>
      </c>
      <c r="O16" s="8" t="inlineStr">
        <is>
          <t>주 1회</t>
        </is>
      </c>
      <c r="P16" s="8" t="inlineStr">
        <is>
          <t>정형(매뉴얼화 가능)</t>
        </is>
      </c>
      <c r="Q16" s="8" t="inlineStr">
        <is>
          <t>예 - 확실히 중복</t>
        </is>
      </c>
      <c r="R16" s="9" t="inlineStr">
        <is>
          <t>상품 마스터 DB 기준 채널 자동 등록</t>
        </is>
      </c>
    </row>
    <row r="17" ht="19.5" customHeight="1" s="26">
      <c r="A17" s="53">
        <f>IF($B$3="","",$B$3+0)</f>
        <v/>
      </c>
      <c r="B17" s="6" t="inlineStr">
        <is>
          <t>월</t>
        </is>
      </c>
      <c r="C17" s="54" t="n">
        <v>0.6458333333333334</v>
      </c>
      <c r="D17" s="54" t="n">
        <v>0.6666666666666666</v>
      </c>
      <c r="E17" s="5">
        <f>IF(OR(C17="",D17=""),"",(D17-C17)*1440)</f>
        <v/>
      </c>
      <c r="F17" s="8" t="inlineStr">
        <is>
          <t>제조·생산관리</t>
        </is>
      </c>
      <c r="G17" s="8" t="inlineStr">
        <is>
          <t>MFG-06 선적·입고 일정 관리</t>
        </is>
      </c>
      <c r="H17" s="9" t="inlineStr">
        <is>
          <t>신제품(외벽·슁글·목재·판넬) 생산완료 건 입고 요청(채림님께)</t>
        </is>
      </c>
      <c r="I17" s="8" t="inlineStr">
        <is>
          <t>신제품 4종</t>
        </is>
      </c>
      <c r="J17" s="8" t="inlineStr">
        <is>
          <t>CRM센터-POUR OS(업무보드)</t>
        </is>
      </c>
      <c r="K17" s="43" t="inlineStr">
        <is>
          <t>https://pourstorecrm.web.app/pour-os</t>
        </is>
      </c>
      <c r="L17" s="8" t="inlineStr">
        <is>
          <t>양채림</t>
        </is>
      </c>
      <c r="M17" s="8" t="inlineStr">
        <is>
          <t>생산공장</t>
        </is>
      </c>
      <c r="N17" s="8" t="inlineStr">
        <is>
          <t>입고 요청 내역</t>
        </is>
      </c>
      <c r="O17" s="8" t="inlineStr">
        <is>
          <t>주 1회</t>
        </is>
      </c>
      <c r="P17" s="8" t="inlineStr">
        <is>
          <t>정형(매뉴얼화 가능)</t>
        </is>
      </c>
      <c r="Q17" s="8" t="inlineStr">
        <is>
          <t>아마도 중복</t>
        </is>
      </c>
      <c r="R17" s="9" t="inlineStr">
        <is>
          <t>생산완료 → 입고요청 자동 알림 연동</t>
        </is>
      </c>
    </row>
    <row r="18" ht="19.5" customHeight="1" s="26">
      <c r="A18" s="53">
        <f>IF($B$3="","",$B$3+0)</f>
        <v/>
      </c>
      <c r="B18" s="6" t="inlineStr">
        <is>
          <t>월</t>
        </is>
      </c>
      <c r="C18" s="54" t="n">
        <v>0.6666666666666666</v>
      </c>
      <c r="D18" s="54" t="n">
        <v>0.7083333333333334</v>
      </c>
      <c r="E18" s="5">
        <f>IF(OR(C18="",D18=""),"",(D18-C18)*1440)</f>
        <v/>
      </c>
      <c r="F18" s="8" t="inlineStr">
        <is>
          <t>CS·물류·재고</t>
        </is>
      </c>
      <c r="G18" s="8" t="inlineStr">
        <is>
          <t>OPS-03 재고 현황 점검·발주 요청</t>
        </is>
      </c>
      <c r="H18" s="9" t="inlineStr">
        <is>
          <t>쿠팡 판매량 확인 및 재고부족 건 입고 요청 / 담당 인수인계 안내(채림님·란님)</t>
        </is>
      </c>
      <c r="I18" s="8" t="inlineStr">
        <is>
          <t>POUR스토어 / 쿠팡</t>
        </is>
      </c>
      <c r="J18" s="8" t="inlineStr">
        <is>
          <t>쿠팡 WING</t>
        </is>
      </c>
      <c r="L18" s="8" t="inlineStr">
        <is>
          <t>양채림, 이란</t>
        </is>
      </c>
      <c r="M18" s="8" t="n"/>
      <c r="N18" s="8" t="inlineStr">
        <is>
          <t>재고·입고 요청 내역</t>
        </is>
      </c>
      <c r="O18" s="8" t="inlineStr">
        <is>
          <t>매일</t>
        </is>
      </c>
      <c r="P18" s="8" t="inlineStr">
        <is>
          <t>정형(매뉴얼화 가능)</t>
        </is>
      </c>
      <c r="Q18" s="8" t="inlineStr">
        <is>
          <t>예 - 확실히 중복</t>
        </is>
      </c>
      <c r="R18" s="9" t="inlineStr">
        <is>
          <t>채널 재고 임계치 도달 시 자동 알림·발주 요청</t>
        </is>
      </c>
    </row>
    <row r="19" ht="19.5" customHeight="1" s="26">
      <c r="A19" s="53">
        <f>IF($B$3="","",$B$3+0)</f>
        <v/>
      </c>
      <c r="B19" s="6" t="inlineStr">
        <is>
          <t>월</t>
        </is>
      </c>
      <c r="C19" s="54" t="n">
        <v>0.7083333333333334</v>
      </c>
      <c r="D19" s="54" t="n">
        <v>0.75</v>
      </c>
      <c r="E19" s="5">
        <f>IF(OR(C19="",D19=""),"",(D19-C19)*1440)</f>
        <v/>
      </c>
      <c r="F19" s="8" t="inlineStr">
        <is>
          <t>마케팅·광고운영</t>
        </is>
      </c>
      <c r="G19" s="8" t="inlineStr">
        <is>
          <t>MKT-04 인플루언서·체험단 섭외/관리</t>
        </is>
      </c>
      <c r="H19" s="9" t="inlineStr">
        <is>
          <t>퍼포먼스마케팅 인플루언서/셀러 협업 현황 확인 및 컨택 방안 피드백(채림님께)</t>
        </is>
      </c>
      <c r="I19" s="8" t="inlineStr">
        <is>
          <t>POUR스토어</t>
        </is>
      </c>
      <c r="J19" s="8" t="inlineStr">
        <is>
          <t>CRM센터-POUR OS(업무보드)</t>
        </is>
      </c>
      <c r="K19" t="inlineStr">
        <is>
          <t>https://pourstorecrm.web.app/pour-os</t>
        </is>
      </c>
      <c r="L19" s="8" t="inlineStr">
        <is>
          <t>양채림</t>
        </is>
      </c>
      <c r="M19" s="8" t="inlineStr">
        <is>
          <t>인플루언서·셀러</t>
        </is>
      </c>
      <c r="N19" s="8" t="inlineStr">
        <is>
          <t>협업 컨택 방안 피드백</t>
        </is>
      </c>
      <c r="O19" s="8" t="inlineStr">
        <is>
          <t>주 1회</t>
        </is>
      </c>
      <c r="P19" s="8" t="inlineStr">
        <is>
          <t>비정형(판단 필요)</t>
        </is>
      </c>
      <c r="Q19" s="8" t="inlineStr">
        <is>
          <t>아마도 중복</t>
        </is>
      </c>
      <c r="R19" s="9" t="inlineStr">
        <is>
          <t>인플루언서/셀러 컨택 이력 DB 공용화(중복 컨택 방지)</t>
        </is>
      </c>
    </row>
    <row r="20" ht="19.5" customHeight="1" s="26">
      <c r="A20" s="53">
        <f>IF($B$3="","",$B$3+0)</f>
        <v/>
      </c>
      <c r="B20" s="6" t="inlineStr">
        <is>
          <t>월</t>
        </is>
      </c>
      <c r="C20" s="54" t="n"/>
      <c r="D20" s="54" t="n"/>
      <c r="E20" s="5">
        <f>IF(OR(C20="",D20=""),"",(D20-C20)*1440)</f>
        <v/>
      </c>
      <c r="F20" s="8" t="n"/>
      <c r="G20" s="8" t="n"/>
      <c r="H20" s="9" t="n"/>
      <c r="I20" s="8" t="n"/>
      <c r="J20" s="8" t="n"/>
      <c r="K20" s="43" t="inlineStr">
        <is>
          <t>https://pourstorecrm.web.app/pour-os</t>
        </is>
      </c>
      <c r="L20" s="8" t="n"/>
      <c r="M20" s="8" t="n"/>
      <c r="N20" s="8" t="n"/>
      <c r="O20" s="8" t="n"/>
      <c r="P20" s="8" t="n"/>
      <c r="Q20" s="8" t="n"/>
      <c r="R20" s="9" t="n"/>
    </row>
    <row r="21" ht="19.5" customHeight="1" s="26">
      <c r="A21" s="53">
        <f>IF($B$3="","",$B$3+0)</f>
        <v/>
      </c>
      <c r="B21" s="6" t="inlineStr">
        <is>
          <t>월</t>
        </is>
      </c>
      <c r="C21" s="54" t="n"/>
      <c r="D21" s="54" t="n"/>
      <c r="E21" s="5">
        <f>IF(OR(C21="",D21=""),"",(D21-C21)*1440)</f>
        <v/>
      </c>
      <c r="F21" s="8" t="n"/>
      <c r="G21" s="8" t="n"/>
      <c r="H21" s="9" t="n"/>
      <c r="I21" s="8" t="n"/>
      <c r="J21" s="8" t="n"/>
      <c r="L21" s="8" t="n"/>
      <c r="M21" s="8" t="n"/>
      <c r="N21" s="8" t="n"/>
      <c r="O21" s="8" t="n"/>
      <c r="P21" s="8" t="n"/>
      <c r="Q21" s="8" t="n"/>
      <c r="R21" s="9" t="n"/>
    </row>
    <row r="22" ht="19.5" customHeight="1" s="26">
      <c r="A22" s="53">
        <f>IF($B$3="","",$B$3+0)</f>
        <v/>
      </c>
      <c r="B22" s="6" t="inlineStr">
        <is>
          <t>월</t>
        </is>
      </c>
      <c r="C22" s="54" t="n"/>
      <c r="D22" s="54" t="n"/>
      <c r="E22" s="5">
        <f>IF(OR(C22="",D22=""),"",(D22-C22)*1440)</f>
        <v/>
      </c>
      <c r="F22" s="8" t="n"/>
      <c r="G22" s="8" t="n"/>
      <c r="H22" s="9" t="n"/>
      <c r="I22" s="8" t="n"/>
      <c r="J22" s="8" t="n"/>
      <c r="L22" s="8" t="n"/>
      <c r="M22" s="8" t="n"/>
      <c r="N22" s="8" t="n"/>
      <c r="O22" s="8" t="n"/>
      <c r="P22" s="8" t="n"/>
      <c r="Q22" s="8" t="n"/>
      <c r="R22" s="9" t="n"/>
    </row>
    <row r="23" ht="19.5" customHeight="1" s="26">
      <c r="A23" s="53">
        <f>IF($B$3="","",$B$3+0)</f>
        <v/>
      </c>
      <c r="B23" s="6" t="inlineStr">
        <is>
          <t>월</t>
        </is>
      </c>
      <c r="C23" s="54" t="n"/>
      <c r="D23" s="54" t="n"/>
      <c r="E23" s="5">
        <f>IF(OR(C23="",D23=""),"",(D23-C23)*1440)</f>
        <v/>
      </c>
      <c r="F23" s="8" t="n"/>
      <c r="G23" s="8" t="n"/>
      <c r="H23" s="9" t="n"/>
      <c r="I23" s="8" t="n"/>
      <c r="J23" s="8" t="n"/>
      <c r="L23" s="8" t="n"/>
      <c r="M23" s="8" t="n"/>
      <c r="N23" s="8" t="n"/>
      <c r="O23" s="8" t="n"/>
      <c r="P23" s="8" t="n"/>
      <c r="Q23" s="8" t="n"/>
      <c r="R23" s="9" t="n"/>
    </row>
    <row r="24" ht="19.5" customHeight="1" s="26">
      <c r="A24" s="53">
        <f>IF($B$3="","",$B$3+0)</f>
        <v/>
      </c>
      <c r="B24" s="6" t="inlineStr">
        <is>
          <t>월</t>
        </is>
      </c>
      <c r="C24" s="54" t="n"/>
      <c r="D24" s="54" t="n"/>
      <c r="E24" s="5">
        <f>IF(OR(C24="",D24=""),"",(D24-C24)*1440)</f>
        <v/>
      </c>
      <c r="F24" s="8" t="n"/>
      <c r="G24" s="8" t="n"/>
      <c r="H24" s="9" t="n"/>
      <c r="I24" s="8" t="n"/>
      <c r="J24" s="8" t="n"/>
      <c r="L24" s="8" t="n"/>
      <c r="M24" s="8" t="n"/>
      <c r="N24" s="8" t="n"/>
      <c r="O24" s="8" t="n"/>
      <c r="P24" s="8" t="n"/>
      <c r="Q24" s="8" t="n"/>
      <c r="R24" s="9" t="n"/>
    </row>
    <row r="25" ht="19.5" customHeight="1" s="26">
      <c r="A25" s="53">
        <f>IF($B$3="","",$B$3+0)</f>
        <v/>
      </c>
      <c r="B25" s="6" t="inlineStr">
        <is>
          <t>월(추가)</t>
        </is>
      </c>
      <c r="C25" s="54" t="n"/>
      <c r="D25" s="54" t="n"/>
      <c r="E25" s="5">
        <f>IF(OR(C25="",D25=""),"",(D25-C25)*1440)</f>
        <v/>
      </c>
      <c r="F25" s="8" t="n"/>
      <c r="G25" s="8" t="n"/>
      <c r="H25" s="9" t="n"/>
      <c r="I25" s="8" t="n"/>
      <c r="J25" s="8" t="n"/>
      <c r="L25" s="8" t="n"/>
      <c r="M25" s="8" t="n"/>
      <c r="N25" s="8" t="n"/>
      <c r="O25" s="8" t="n"/>
      <c r="P25" s="8" t="n"/>
      <c r="Q25" s="8" t="n"/>
      <c r="R25" s="9" t="n"/>
    </row>
    <row r="26" ht="19.5" customHeight="1" s="26">
      <c r="A26" s="53">
        <f>IF($B$3="","",$B$3+0)</f>
        <v/>
      </c>
      <c r="B26" s="6" t="inlineStr">
        <is>
          <t>월(추가)</t>
        </is>
      </c>
      <c r="C26" s="54" t="n"/>
      <c r="D26" s="54" t="n"/>
      <c r="E26" s="5">
        <f>IF(OR(C26="",D26=""),"",(D26-C26)*1440)</f>
        <v/>
      </c>
      <c r="F26" s="8" t="n"/>
      <c r="G26" s="8" t="n"/>
      <c r="H26" s="9" t="n"/>
      <c r="I26" s="8" t="n"/>
      <c r="J26" s="8" t="n"/>
      <c r="L26" s="8" t="n"/>
      <c r="M26" s="8" t="n"/>
      <c r="N26" s="8" t="n"/>
      <c r="O26" s="8" t="n"/>
      <c r="P26" s="8" t="n"/>
      <c r="Q26" s="8" t="n"/>
      <c r="R26" s="9" t="n"/>
    </row>
    <row r="27" ht="19.5" customHeight="1" s="26">
      <c r="A27" s="53">
        <f>IF($B$3="","",$B$3+1)</f>
        <v/>
      </c>
      <c r="B27" s="6" t="inlineStr">
        <is>
          <t>화</t>
        </is>
      </c>
      <c r="C27" s="54" t="n">
        <v>0.375</v>
      </c>
      <c r="D27" s="54" t="n">
        <v>0.3958333333333333</v>
      </c>
      <c r="E27" s="5">
        <f>IF(OR(C27="",D27=""),"",(D27-C27)*1440)</f>
        <v/>
      </c>
      <c r="F27" s="8" t="inlineStr">
        <is>
          <t>기타·행정</t>
        </is>
      </c>
      <c r="G27" s="8" t="inlineStr">
        <is>
          <t>ETC-01 메일·메신저 확인 및 회신</t>
        </is>
      </c>
      <c r="H27" s="9" t="inlineStr">
        <is>
          <t>출근 후 메일·메신저·업무보드 확인 및 회신</t>
        </is>
      </c>
      <c r="I27" s="8" t="inlineStr">
        <is>
          <t>전사</t>
        </is>
      </c>
      <c r="J27" s="8" t="inlineStr">
        <is>
          <t>CRM센터-POUR OS(업무보드)</t>
        </is>
      </c>
      <c r="K27" s="43" t="inlineStr">
        <is>
          <t>https://pourstorecrm.web.app/pour-os</t>
        </is>
      </c>
      <c r="L27" s="8" t="n"/>
      <c r="M27" s="8" t="n"/>
      <c r="N27" s="8" t="inlineStr">
        <is>
          <t>회신 처리</t>
        </is>
      </c>
      <c r="O27" s="8" t="inlineStr">
        <is>
          <t>매일</t>
        </is>
      </c>
      <c r="P27" s="8" t="inlineStr">
        <is>
          <t>정형(매뉴얼화 가능)</t>
        </is>
      </c>
      <c r="Q27" s="8" t="inlineStr">
        <is>
          <t>예 - 확실히 중복</t>
        </is>
      </c>
      <c r="R27" s="9" t="inlineStr">
        <is>
          <t>팀별 요청·공지를 업무보드 알림 하나로 일원화</t>
        </is>
      </c>
    </row>
    <row r="28" ht="19.5" customHeight="1" s="26">
      <c r="A28" s="53">
        <f>IF($B$3="","",$B$3+1)</f>
        <v/>
      </c>
      <c r="B28" s="6" t="inlineStr">
        <is>
          <t>화</t>
        </is>
      </c>
      <c r="C28" s="54" t="n">
        <v>0.3958333333333333</v>
      </c>
      <c r="D28" s="54" t="n">
        <v>0.4583333333333333</v>
      </c>
      <c r="E28" s="5">
        <f>IF(OR(C28="",D28=""),"",(D28-C28)*1440)</f>
        <v/>
      </c>
      <c r="F28" s="8" t="inlineStr">
        <is>
          <t>기획·보고·회의</t>
        </is>
      </c>
      <c r="G28" s="8" t="inlineStr">
        <is>
          <t>MGT-01 팀 내부 회의</t>
        </is>
      </c>
      <c r="H28" s="9" t="inlineStr">
        <is>
          <t>모여라딜 피봇팅 방향 논의 및 정하님 업무 진행방향 미팅</t>
        </is>
      </c>
      <c r="I28" s="8" t="inlineStr">
        <is>
          <t>모여라딜</t>
        </is>
      </c>
      <c r="J28" s="8" t="n"/>
      <c r="K28" s="43" t="inlineStr">
        <is>
          <t>https://pourstorecrm.web.app/pour-os</t>
        </is>
      </c>
      <c r="L28" s="8" t="inlineStr">
        <is>
          <t>용정하</t>
        </is>
      </c>
      <c r="M28" s="8" t="n"/>
      <c r="N28" s="8" t="inlineStr">
        <is>
          <t>미팅 결과·업무 방향 메모</t>
        </is>
      </c>
      <c r="O28" s="8" t="inlineStr">
        <is>
          <t>주 1회</t>
        </is>
      </c>
      <c r="P28" s="8" t="inlineStr">
        <is>
          <t>비정형(판단 필요)</t>
        </is>
      </c>
      <c r="Q28" s="8" t="inlineStr">
        <is>
          <t>모름</t>
        </is>
      </c>
      <c r="R28" s="9" t="inlineStr">
        <is>
          <t>논의 결과를 업무보드 프로젝트 카드로 즉시 반영</t>
        </is>
      </c>
    </row>
    <row r="29" ht="19.5" customHeight="1" s="26">
      <c r="A29" s="53">
        <f>IF($B$3="","",$B$3+1)</f>
        <v/>
      </c>
      <c r="B29" s="6" t="inlineStr">
        <is>
          <t>화</t>
        </is>
      </c>
      <c r="C29" s="54" t="n">
        <v>0.4583333333333333</v>
      </c>
      <c r="D29" s="54" t="n">
        <v>0.5</v>
      </c>
      <c r="E29" s="5">
        <f>IF(OR(C29="",D29=""),"",(D29-C29)*1440)</f>
        <v/>
      </c>
      <c r="F29" s="8" t="inlineStr">
        <is>
          <t>콘텐츠제작</t>
        </is>
      </c>
      <c r="G29" s="8" t="inlineStr">
        <is>
          <t>CNT-02 촬영 기획·진행</t>
        </is>
      </c>
      <c r="H29" s="9" t="inlineStr">
        <is>
          <t>제품시공 촬영 — 테스트촬영 및 대여 탐색, 채림님께 인수인계하여 진행 요청 (아파트·공장·일반주택 대상)</t>
        </is>
      </c>
      <c r="I29" s="8" t="inlineStr">
        <is>
          <t>시공 제품 / 아파트·공장·일반주택</t>
        </is>
      </c>
      <c r="J29" s="8" t="inlineStr">
        <is>
          <t>CRM센터-POUR OS(업무보드)</t>
        </is>
      </c>
      <c r="K29" s="43" t="inlineStr">
        <is>
          <t>https://pourstorecrm.web.app/pour-os</t>
        </is>
      </c>
      <c r="L29" s="8" t="inlineStr">
        <is>
          <t>양채림</t>
        </is>
      </c>
      <c r="M29" s="8" t="n"/>
      <c r="N29" s="8" t="inlineStr">
        <is>
          <t>테스트 촬영본, 촬영 진행 요청서</t>
        </is>
      </c>
      <c r="O29" s="8" t="inlineStr">
        <is>
          <t>1회성</t>
        </is>
      </c>
      <c r="P29" s="8" t="inlineStr">
        <is>
          <t>비정형(판단 필요)</t>
        </is>
      </c>
      <c r="Q29" s="8" t="inlineStr">
        <is>
          <t>아마도 중복</t>
        </is>
      </c>
      <c r="R29" s="9" t="inlineStr">
        <is>
          <t>건물유형별 시공 촬영 가이드·촬영 자산 라이브러리 공용화</t>
        </is>
      </c>
    </row>
    <row r="30" ht="19.5" customHeight="1" s="26">
      <c r="A30" s="53">
        <f>IF($B$3="","",$B$3+1)</f>
        <v/>
      </c>
      <c r="B30" s="6" t="inlineStr">
        <is>
          <t>화</t>
        </is>
      </c>
      <c r="C30" s="54" t="n">
        <v>0.5</v>
      </c>
      <c r="D30" s="54" t="n">
        <v>0.5416666666666666</v>
      </c>
      <c r="E30" s="5">
        <f>IF(OR(C30="",D30=""),"",(D30-C30)*1440)</f>
        <v/>
      </c>
      <c r="F30" s="8" t="inlineStr">
        <is>
          <t>기타·행정</t>
        </is>
      </c>
      <c r="G30" s="8" t="inlineStr">
        <is>
          <t>ETC-05 휴게·점심</t>
        </is>
      </c>
      <c r="H30" s="9" t="inlineStr">
        <is>
          <t>점심 및 휴게</t>
        </is>
      </c>
      <c r="I30" s="8" t="n"/>
      <c r="J30" s="8" t="n"/>
      <c r="L30" s="8" t="n"/>
      <c r="M30" s="8" t="n"/>
      <c r="N30" s="8" t="n"/>
      <c r="O30" s="8" t="inlineStr">
        <is>
          <t>매일</t>
        </is>
      </c>
      <c r="P30" s="8" t="inlineStr">
        <is>
          <t>정형(매뉴얼화 가능)</t>
        </is>
      </c>
      <c r="Q30" s="8" t="inlineStr">
        <is>
          <t>예 - 확실히 중복</t>
        </is>
      </c>
      <c r="R30" s="9" t="n"/>
    </row>
    <row r="31" ht="19.5" customHeight="1" s="26">
      <c r="A31" s="53">
        <f>IF($B$3="","",$B$3+1)</f>
        <v/>
      </c>
      <c r="B31" s="6" t="inlineStr">
        <is>
          <t>화</t>
        </is>
      </c>
      <c r="C31" s="54" t="n">
        <v>0.5416666666666666</v>
      </c>
      <c r="D31" s="54" t="n">
        <v>0.5833333333333334</v>
      </c>
      <c r="E31" s="5">
        <f>IF(OR(C31="",D31=""),"",(D31-C31)*1440)</f>
        <v/>
      </c>
      <c r="F31" s="8" t="inlineStr">
        <is>
          <t>마케팅·광고운영</t>
        </is>
      </c>
      <c r="G31" s="8" t="inlineStr">
        <is>
          <t>MKT-04 인플루언서·체험단 섭외/관리</t>
        </is>
      </c>
      <c r="H31" s="9" t="inlineStr">
        <is>
          <t>채림님 인플루언서 협업마케팅 진행방향 안내 및 멘트 컨펌</t>
        </is>
      </c>
      <c r="I31" s="8" t="inlineStr">
        <is>
          <t>POUR스토어</t>
        </is>
      </c>
      <c r="J31" s="8" t="inlineStr">
        <is>
          <t>레뷰, 리뷰플레이스</t>
        </is>
      </c>
      <c r="K31" s="44" t="inlineStr">
        <is>
          <t>https://pourstorecrm.web.app/pour-os</t>
        </is>
      </c>
      <c r="L31" s="8" t="inlineStr">
        <is>
          <t>양채림</t>
        </is>
      </c>
      <c r="M31" s="8" t="inlineStr">
        <is>
          <t>인플루언서</t>
        </is>
      </c>
      <c r="N31" s="8" t="inlineStr">
        <is>
          <t>협업 진행안 컨펌</t>
        </is>
      </c>
      <c r="O31" s="8" t="inlineStr">
        <is>
          <t>주 1회</t>
        </is>
      </c>
      <c r="P31" s="8" t="inlineStr">
        <is>
          <t>비정형(판단 필요)</t>
        </is>
      </c>
      <c r="Q31" s="8" t="inlineStr">
        <is>
          <t>아마도 중복</t>
        </is>
      </c>
      <c r="R31" s="9" t="inlineStr">
        <is>
          <t>인플루언서 협업 진행 기준(가이드) 문서화 후 위임</t>
        </is>
      </c>
    </row>
    <row r="32" ht="19.5" customHeight="1" s="26">
      <c r="A32" s="53">
        <f>IF($B$3="","",$B$3+1)</f>
        <v/>
      </c>
      <c r="B32" s="6" t="inlineStr">
        <is>
          <t>화</t>
        </is>
      </c>
      <c r="C32" s="54" t="n">
        <v>0.5833333333333334</v>
      </c>
      <c r="D32" s="54" t="n">
        <v>0.625</v>
      </c>
      <c r="E32" s="5">
        <f>IF(OR(C32="",D32=""),"",(D32-C32)*1440)</f>
        <v/>
      </c>
      <c r="F32" s="8" t="inlineStr">
        <is>
          <t>사내시스템·자동화</t>
        </is>
      </c>
      <c r="G32" s="8" t="inlineStr">
        <is>
          <t>SYS-01 사내 시스템·앱 기획/개선 요청</t>
        </is>
      </c>
      <c r="H32" s="9" t="inlineStr">
        <is>
          <t>소싱앱 UX/UI 개선 — 정하님 추가 고도화 건 2차 피드백</t>
        </is>
      </c>
      <c r="I32" s="8" t="inlineStr">
        <is>
          <t>소싱앱</t>
        </is>
      </c>
      <c r="J32" s="8" t="inlineStr">
        <is>
          <t>소싱앱</t>
        </is>
      </c>
      <c r="K32" t="inlineStr">
        <is>
          <t>소싱 관리 · 모여라딜 (moyeoradeal-sourcing.pages.dev)</t>
        </is>
      </c>
      <c r="L32" s="8" t="inlineStr">
        <is>
          <t>용정하</t>
        </is>
      </c>
      <c r="M32" s="8" t="n"/>
      <c r="N32" s="8" t="inlineStr">
        <is>
          <t>UX/UI 2차 피드백</t>
        </is>
      </c>
      <c r="O32" s="8" t="inlineStr">
        <is>
          <t>주 2~3회</t>
        </is>
      </c>
      <c r="P32" s="8" t="inlineStr">
        <is>
          <t>비정형(판단 필요)</t>
        </is>
      </c>
      <c r="Q32" s="8" t="inlineStr">
        <is>
          <t>모름</t>
        </is>
      </c>
      <c r="R32" s="9" t="inlineStr">
        <is>
          <t>개선 요청·피드백 이력을 앱 내 이슈보드로 관리</t>
        </is>
      </c>
    </row>
    <row r="33" ht="19.5" customHeight="1" s="26">
      <c r="A33" s="53">
        <f>IF($B$3="","",$B$3+1)</f>
        <v/>
      </c>
      <c r="B33" s="6" t="inlineStr">
        <is>
          <t>화</t>
        </is>
      </c>
      <c r="C33" s="54" t="n">
        <v>0.625</v>
      </c>
      <c r="D33" s="54" t="n">
        <v>0.6458333333333334</v>
      </c>
      <c r="E33" s="5">
        <f>IF(OR(C33="",D33=""),"",(D33-C33)*1440)</f>
        <v/>
      </c>
      <c r="F33" s="8" t="inlineStr">
        <is>
          <t>상품기획·소싱</t>
        </is>
      </c>
      <c r="G33" s="8" t="inlineStr">
        <is>
          <t>PLN-01 신상품 아이템 발굴/시장조사</t>
        </is>
      </c>
      <c r="H33" s="9" t="inlineStr">
        <is>
          <t>부자재(롤링독) 판매 세팅 검토 — 우선순위 재조정으로 보류</t>
        </is>
      </c>
      <c r="I33" s="8" t="inlineStr">
        <is>
          <t>부자재·안전용품</t>
        </is>
      </c>
      <c r="J33" s="8" t="n"/>
      <c r="K33" s="44" t="inlineStr">
        <is>
          <t>https://pour-construction-form.pages.dev/pourstore-pricing-dashboard</t>
        </is>
      </c>
      <c r="L33" s="8" t="n"/>
      <c r="M33" s="8" t="n"/>
      <c r="N33" s="8" t="inlineStr">
        <is>
          <t>판매 세팅 검토안(보류)</t>
        </is>
      </c>
      <c r="O33" s="8" t="inlineStr">
        <is>
          <t>분기/비정기</t>
        </is>
      </c>
      <c r="P33" s="8" t="inlineStr">
        <is>
          <t>비정형(판단 필요)</t>
        </is>
      </c>
      <c r="Q33" s="8" t="inlineStr">
        <is>
          <t>아마도 중복</t>
        </is>
      </c>
      <c r="R33" s="9" t="inlineStr">
        <is>
          <t>부자재 카테고리 소싱 기준 정립 후 일괄 세팅</t>
        </is>
      </c>
    </row>
    <row r="34" ht="19.5" customHeight="1" s="26">
      <c r="A34" s="53">
        <f>IF($B$3="","",$B$3+1)</f>
        <v/>
      </c>
      <c r="B34" s="6" t="inlineStr">
        <is>
          <t>화</t>
        </is>
      </c>
      <c r="C34" s="54" t="n">
        <v>0.6458333333333334</v>
      </c>
      <c r="D34" s="54" t="n">
        <v>0.6875</v>
      </c>
      <c r="E34" s="5">
        <f>IF(OR(C34="",D34=""),"",(D34-C34)*1440)</f>
        <v/>
      </c>
      <c r="F34" s="8" t="inlineStr">
        <is>
          <t>데이터·정산</t>
        </is>
      </c>
      <c r="G34" s="8" t="inlineStr">
        <is>
          <t>DAT-04 리포트·대시보드 작성</t>
        </is>
      </c>
      <c r="H34" s="9" t="inlineStr">
        <is>
          <t>POUR스토어 단가·공헌이익·손익계산 대시보드 제작 — 진행중(전주 이월)</t>
        </is>
      </c>
      <c r="I34" s="8" t="inlineStr">
        <is>
          <t>POUR스토어</t>
        </is>
      </c>
      <c r="J34" s="8" t="inlineStr">
        <is>
          <t>단가 대시보드, 엑셀</t>
        </is>
      </c>
      <c r="K34" t="inlineStr">
        <is>
          <t>POUR스토어 가격·마진 통합 대시보드 (pour-construction-form.pages.dev)</t>
        </is>
      </c>
      <c r="L34" s="8" t="n"/>
      <c r="M34" s="8" t="n"/>
      <c r="N34" s="8" t="inlineStr">
        <is>
          <t>단가·공헌이익·손익 대시보드</t>
        </is>
      </c>
      <c r="O34" s="8" t="inlineStr">
        <is>
          <t>주 2~3회</t>
        </is>
      </c>
      <c r="P34" s="8" t="inlineStr">
        <is>
          <t>비정형(판단 필요)</t>
        </is>
      </c>
      <c r="Q34" s="8" t="inlineStr">
        <is>
          <t>아마도 중복</t>
        </is>
      </c>
      <c r="R34" s="9" t="inlineStr">
        <is>
          <t>채널 수수료·원가 데이터 자동 연동으로 수기 입력 제거</t>
        </is>
      </c>
    </row>
    <row r="35" ht="19.5" customHeight="1" s="26">
      <c r="A35" s="53">
        <f>IF($B$3="","",$B$3+1)</f>
        <v/>
      </c>
      <c r="B35" s="6" t="inlineStr">
        <is>
          <t>화</t>
        </is>
      </c>
      <c r="C35" s="54" t="n">
        <v>0.6875</v>
      </c>
      <c r="D35" s="54" t="n">
        <v>0.75</v>
      </c>
      <c r="E35" s="5">
        <f>IF(OR(C35="",D35=""),"",(D35-C35)*1440)</f>
        <v/>
      </c>
      <c r="F35" s="8" t="inlineStr">
        <is>
          <t>제조·생산관리</t>
        </is>
      </c>
      <c r="G35" s="8" t="inlineStr">
        <is>
          <t>MFG-08 MSDS·라벨 등 제품 표시사항 제작</t>
        </is>
      </c>
      <c r="H35" s="9" t="inlineStr">
        <is>
          <t>신제품 코트재 MSDS 컬러별 31개 제작 — 진행중</t>
        </is>
      </c>
      <c r="I35" s="8" t="inlineStr">
        <is>
          <t>코트재 신제품 31색</t>
        </is>
      </c>
      <c r="J35" s="8" t="inlineStr">
        <is>
          <t>챗지피티</t>
        </is>
      </c>
      <c r="L35" s="8" t="n"/>
      <c r="M35" s="8" t="inlineStr">
        <is>
          <t>세이고, 쿠팡물류센터</t>
        </is>
      </c>
      <c r="N35" s="8" t="inlineStr">
        <is>
          <t>MSDS 31종</t>
        </is>
      </c>
      <c r="O35" s="8" t="inlineStr">
        <is>
          <t>1회성</t>
        </is>
      </c>
      <c r="P35" s="8" t="inlineStr">
        <is>
          <t>반정형</t>
        </is>
      </c>
      <c r="Q35" s="8" t="inlineStr">
        <is>
          <t>아니오 - 우리팀 고유</t>
        </is>
      </c>
      <c r="R35" s="9" t="inlineStr">
        <is>
          <t>품목·색상 데이터 연동으로 MSDS 서식 자동 생성</t>
        </is>
      </c>
    </row>
    <row r="36" ht="19.5" customHeight="1" s="26">
      <c r="A36" s="53">
        <f>IF($B$3="","",$B$3+1)</f>
        <v/>
      </c>
      <c r="B36" s="6" t="inlineStr">
        <is>
          <t>화</t>
        </is>
      </c>
      <c r="C36" s="54" t="n"/>
      <c r="D36" s="54" t="n"/>
      <c r="E36" s="5">
        <f>IF(OR(C36="",D36=""),"",(D36-C36)*1440)</f>
        <v/>
      </c>
      <c r="F36" s="8" t="n"/>
      <c r="G36" s="8" t="n"/>
      <c r="H36" s="9" t="n"/>
      <c r="I36" s="8" t="n"/>
      <c r="J36" s="8" t="n"/>
      <c r="L36" s="8" t="n"/>
      <c r="M36" s="8" t="n"/>
      <c r="N36" s="8" t="n"/>
      <c r="O36" s="8" t="n"/>
      <c r="P36" s="8" t="n"/>
      <c r="Q36" s="8" t="n"/>
      <c r="R36" s="9" t="n"/>
    </row>
    <row r="37" ht="19.5" customHeight="1" s="26">
      <c r="A37" s="53">
        <f>IF($B$3="","",$B$3+1)</f>
        <v/>
      </c>
      <c r="B37" s="6" t="inlineStr">
        <is>
          <t>화</t>
        </is>
      </c>
      <c r="C37" s="54" t="n"/>
      <c r="D37" s="54" t="n"/>
      <c r="E37" s="5">
        <f>IF(OR(C37="",D37=""),"",(D37-C37)*1440)</f>
        <v/>
      </c>
      <c r="F37" s="8" t="n"/>
      <c r="G37" s="8" t="n"/>
      <c r="H37" s="9" t="n"/>
      <c r="I37" s="8" t="n"/>
      <c r="J37" s="8" t="n"/>
      <c r="L37" s="8" t="n"/>
      <c r="M37" s="8" t="n"/>
      <c r="N37" s="8" t="n"/>
      <c r="O37" s="8" t="n"/>
      <c r="P37" s="8" t="n"/>
      <c r="Q37" s="8" t="n"/>
      <c r="R37" s="9" t="n"/>
    </row>
    <row r="38" ht="19.5" customHeight="1" s="26">
      <c r="A38" s="53">
        <f>IF($B$3="","",$B$3+1)</f>
        <v/>
      </c>
      <c r="B38" s="6" t="inlineStr">
        <is>
          <t>화</t>
        </is>
      </c>
      <c r="C38" s="54" t="n"/>
      <c r="D38" s="54" t="n"/>
      <c r="E38" s="5">
        <f>IF(OR(C38="",D38=""),"",(D38-C38)*1440)</f>
        <v/>
      </c>
      <c r="F38" s="8" t="n"/>
      <c r="G38" s="8" t="n"/>
      <c r="H38" s="9" t="n"/>
      <c r="I38" s="8" t="n"/>
      <c r="J38" s="8" t="n"/>
      <c r="L38" s="8" t="n"/>
      <c r="M38" s="8" t="n"/>
      <c r="N38" s="8" t="n"/>
      <c r="O38" s="8" t="n"/>
      <c r="P38" s="8" t="n"/>
      <c r="Q38" s="8" t="n"/>
      <c r="R38" s="9" t="n"/>
    </row>
    <row r="39" ht="19.5" customHeight="1" s="26">
      <c r="A39" s="53">
        <f>IF($B$3="","",$B$3+1)</f>
        <v/>
      </c>
      <c r="B39" s="6" t="inlineStr">
        <is>
          <t>화</t>
        </is>
      </c>
      <c r="C39" s="54" t="n"/>
      <c r="D39" s="54" t="n"/>
      <c r="E39" s="5">
        <f>IF(OR(C39="",D39=""),"",(D39-C39)*1440)</f>
        <v/>
      </c>
      <c r="F39" s="8" t="n"/>
      <c r="G39" s="8" t="n"/>
      <c r="H39" s="9" t="n"/>
      <c r="I39" s="8" t="n"/>
      <c r="J39" s="8" t="n"/>
      <c r="L39" s="8" t="n"/>
      <c r="M39" s="8" t="n"/>
      <c r="N39" s="8" t="n"/>
      <c r="O39" s="8" t="n"/>
      <c r="P39" s="8" t="n"/>
      <c r="Q39" s="8" t="n"/>
      <c r="R39" s="9" t="n"/>
    </row>
    <row r="40" ht="19.5" customHeight="1" s="26">
      <c r="A40" s="53">
        <f>IF($B$3="","",$B$3+1)</f>
        <v/>
      </c>
      <c r="B40" s="6" t="inlineStr">
        <is>
          <t>화</t>
        </is>
      </c>
      <c r="C40" s="54" t="n"/>
      <c r="D40" s="54" t="n"/>
      <c r="E40" s="5">
        <f>IF(OR(C40="",D40=""),"",(D40-C40)*1440)</f>
        <v/>
      </c>
      <c r="F40" s="8" t="n"/>
      <c r="G40" s="8" t="n"/>
      <c r="H40" s="9" t="n"/>
      <c r="I40" s="8" t="n"/>
      <c r="J40" s="8" t="n"/>
      <c r="L40" s="8" t="n"/>
      <c r="M40" s="8" t="n"/>
      <c r="N40" s="8" t="n"/>
      <c r="O40" s="8" t="n"/>
      <c r="P40" s="8" t="n"/>
      <c r="Q40" s="8" t="n"/>
      <c r="R40" s="9" t="n"/>
    </row>
    <row r="41" ht="19.5" customHeight="1" s="26">
      <c r="A41" s="53">
        <f>IF($B$3="","",$B$3+1)</f>
        <v/>
      </c>
      <c r="B41" s="6" t="inlineStr">
        <is>
          <t>화</t>
        </is>
      </c>
      <c r="C41" s="54" t="n"/>
      <c r="D41" s="54" t="n"/>
      <c r="E41" s="5">
        <f>IF(OR(C41="",D41=""),"",(D41-C41)*1440)</f>
        <v/>
      </c>
      <c r="F41" s="8" t="n"/>
      <c r="G41" s="8" t="n"/>
      <c r="H41" s="9" t="n"/>
      <c r="I41" s="8" t="n"/>
      <c r="J41" s="8" t="n"/>
      <c r="L41" s="8" t="n"/>
      <c r="M41" s="8" t="n"/>
      <c r="N41" s="8" t="n"/>
      <c r="O41" s="8" t="n"/>
      <c r="P41" s="8" t="n"/>
      <c r="Q41" s="8" t="n"/>
      <c r="R41" s="9" t="n"/>
    </row>
    <row r="42" ht="19.5" customHeight="1" s="26">
      <c r="A42" s="53">
        <f>IF($B$3="","",$B$3+1)</f>
        <v/>
      </c>
      <c r="B42" s="6" t="inlineStr">
        <is>
          <t>화</t>
        </is>
      </c>
      <c r="C42" s="54" t="n"/>
      <c r="D42" s="54" t="n"/>
      <c r="E42" s="5">
        <f>IF(OR(C42="",D42=""),"",(D42-C42)*1440)</f>
        <v/>
      </c>
      <c r="F42" s="8" t="n"/>
      <c r="G42" s="8" t="n"/>
      <c r="H42" s="9" t="n"/>
      <c r="I42" s="8" t="n"/>
      <c r="J42" s="8" t="n"/>
      <c r="L42" s="8" t="n"/>
      <c r="M42" s="8" t="n"/>
      <c r="N42" s="8" t="n"/>
      <c r="O42" s="8" t="n"/>
      <c r="P42" s="8" t="n"/>
      <c r="Q42" s="8" t="n"/>
      <c r="R42" s="9" t="n"/>
    </row>
    <row r="43" ht="19.5" customHeight="1" s="26">
      <c r="A43" s="53">
        <f>IF($B$3="","",$B$3+1)</f>
        <v/>
      </c>
      <c r="B43" s="6" t="inlineStr">
        <is>
          <t>화</t>
        </is>
      </c>
      <c r="C43" s="54" t="n"/>
      <c r="D43" s="54" t="n"/>
      <c r="E43" s="5">
        <f>IF(OR(C43="",D43=""),"",(D43-C43)*1440)</f>
        <v/>
      </c>
      <c r="F43" s="8" t="n"/>
      <c r="G43" s="8" t="n"/>
      <c r="H43" s="9" t="n"/>
      <c r="I43" s="8" t="n"/>
      <c r="J43" s="8" t="n"/>
      <c r="L43" s="8" t="n"/>
      <c r="M43" s="8" t="n"/>
      <c r="N43" s="8" t="n"/>
      <c r="O43" s="8" t="n"/>
      <c r="P43" s="8" t="n"/>
      <c r="Q43" s="8" t="n"/>
      <c r="R43" s="9" t="n"/>
    </row>
    <row r="44" ht="19.5" customHeight="1" s="26">
      <c r="A44" s="53">
        <f>IF($B$3="","",$B$3+1)</f>
        <v/>
      </c>
      <c r="B44" s="6" t="inlineStr">
        <is>
          <t>화</t>
        </is>
      </c>
      <c r="C44" s="54" t="n"/>
      <c r="D44" s="54" t="n"/>
      <c r="E44" s="5">
        <f>IF(OR(C44="",D44=""),"",(D44-C44)*1440)</f>
        <v/>
      </c>
      <c r="F44" s="8" t="n"/>
      <c r="G44" s="8" t="n"/>
      <c r="H44" s="9" t="n"/>
      <c r="I44" s="8" t="n"/>
      <c r="J44" s="8" t="n"/>
      <c r="L44" s="8" t="n"/>
      <c r="M44" s="8" t="n"/>
      <c r="N44" s="8" t="n"/>
      <c r="O44" s="8" t="n"/>
      <c r="P44" s="8" t="n"/>
      <c r="Q44" s="8" t="n"/>
      <c r="R44" s="9" t="n"/>
    </row>
    <row r="45" ht="19.5" customHeight="1" s="26">
      <c r="A45" s="53">
        <f>IF($B$3="","",$B$3+1)</f>
        <v/>
      </c>
      <c r="B45" s="6" t="inlineStr">
        <is>
          <t>화(추가)</t>
        </is>
      </c>
      <c r="C45" s="54" t="n"/>
      <c r="D45" s="54" t="n"/>
      <c r="E45" s="5">
        <f>IF(OR(C45="",D45=""),"",(D45-C45)*1440)</f>
        <v/>
      </c>
      <c r="F45" s="8" t="n"/>
      <c r="G45" s="8" t="n"/>
      <c r="H45" s="9" t="n"/>
      <c r="I45" s="8" t="n"/>
      <c r="J45" s="8" t="n"/>
      <c r="L45" s="8" t="n"/>
      <c r="M45" s="8" t="n"/>
      <c r="N45" s="8" t="n"/>
      <c r="O45" s="8" t="n"/>
      <c r="P45" s="8" t="n"/>
      <c r="Q45" s="8" t="n"/>
      <c r="R45" s="9" t="n"/>
    </row>
    <row r="46" ht="19.5" customHeight="1" s="26">
      <c r="A46" s="53">
        <f>IF($B$3="","",$B$3+1)</f>
        <v/>
      </c>
      <c r="B46" s="6" t="inlineStr">
        <is>
          <t>화(추가)</t>
        </is>
      </c>
      <c r="C46" s="54" t="n"/>
      <c r="D46" s="54" t="n"/>
      <c r="E46" s="5">
        <f>IF(OR(C46="",D46=""),"",(D46-C46)*1440)</f>
        <v/>
      </c>
      <c r="F46" s="8" t="n"/>
      <c r="G46" s="8" t="n"/>
      <c r="H46" s="9" t="n"/>
      <c r="I46" s="8" t="n"/>
      <c r="J46" s="8" t="n"/>
      <c r="L46" s="8" t="n"/>
      <c r="M46" s="8" t="n"/>
      <c r="N46" s="8" t="n"/>
      <c r="O46" s="8" t="n"/>
      <c r="P46" s="8" t="n"/>
      <c r="Q46" s="8" t="n"/>
      <c r="R46" s="9" t="n"/>
    </row>
    <row r="47" ht="19.5" customHeight="1" s="26">
      <c r="A47" s="53">
        <f>IF($B$3="","",$B$3+2)</f>
        <v/>
      </c>
      <c r="B47" s="6" t="inlineStr">
        <is>
          <t>수</t>
        </is>
      </c>
      <c r="C47" s="54" t="n">
        <v>0.375</v>
      </c>
      <c r="D47" s="54" t="n">
        <v>0.3958333333333333</v>
      </c>
      <c r="E47" s="5">
        <f>IF(OR(C47="",D47=""),"",(D47-C47)*1440)</f>
        <v/>
      </c>
      <c r="F47" s="8" t="inlineStr">
        <is>
          <t>기타·행정</t>
        </is>
      </c>
      <c r="G47" s="8" t="inlineStr">
        <is>
          <t>ETC-01 메일·메신저 확인 및 회신</t>
        </is>
      </c>
      <c r="H47" s="9" t="inlineStr">
        <is>
          <t>출근 후 메일·메신저·업무보드 확인 및 회신</t>
        </is>
      </c>
      <c r="I47" s="8" t="inlineStr">
        <is>
          <t>전사</t>
        </is>
      </c>
      <c r="J47" s="8" t="inlineStr">
        <is>
          <t>CRM센터-POUR OS(업무보드)</t>
        </is>
      </c>
      <c r="K47" s="43" t="inlineStr">
        <is>
          <t>https://pourstorecrm.web.app/pour-os</t>
        </is>
      </c>
      <c r="L47" s="8" t="n"/>
      <c r="M47" s="8" t="n"/>
      <c r="N47" s="8" t="inlineStr">
        <is>
          <t>회신 처리</t>
        </is>
      </c>
      <c r="O47" s="8" t="inlineStr">
        <is>
          <t>매일</t>
        </is>
      </c>
      <c r="P47" s="8" t="inlineStr">
        <is>
          <t>정형(매뉴얼화 가능)</t>
        </is>
      </c>
      <c r="Q47" s="8" t="inlineStr">
        <is>
          <t>예 - 확실히 중복</t>
        </is>
      </c>
      <c r="R47" s="9" t="inlineStr">
        <is>
          <t>팀별 요청·공지를 업무보드 알림 하나로 일원화</t>
        </is>
      </c>
    </row>
    <row r="48" ht="19.5" customHeight="1" s="26">
      <c r="A48" s="53">
        <f>IF($B$3="","",$B$3+2)</f>
        <v/>
      </c>
      <c r="B48" s="6" t="inlineStr">
        <is>
          <t>수</t>
        </is>
      </c>
      <c r="C48" s="54" t="n">
        <v>0.3958333333333333</v>
      </c>
      <c r="D48" s="54" t="n">
        <v>0.4375</v>
      </c>
      <c r="E48" s="5">
        <f>IF(OR(C48="",D48=""),"",(D48-C48)*1440)</f>
        <v/>
      </c>
      <c r="F48" s="8" t="inlineStr">
        <is>
          <t>파트너·대리점관리</t>
        </is>
      </c>
      <c r="G48" s="8" t="inlineStr">
        <is>
          <t>PTR-01 대리점·파트너사 방문·미팅</t>
        </is>
      </c>
      <c r="H48" s="9" t="inlineStr">
        <is>
          <t>부산 대리점 방문 준비 — 촬영물품 및 미팅·인터뷰 질문지 최종 확인</t>
        </is>
      </c>
      <c r="I48" s="8" t="inlineStr">
        <is>
          <t>대리점(가나랜드·경남지사)</t>
        </is>
      </c>
      <c r="J48" s="8" t="inlineStr">
        <is>
          <t>CRM센터-POUR OS(업무보드)</t>
        </is>
      </c>
      <c r="K48" s="43" t="inlineStr">
        <is>
          <t>https://pourstorecrm.web.app/pour-os</t>
        </is>
      </c>
      <c r="L48" s="8" t="inlineStr">
        <is>
          <t>이란</t>
        </is>
      </c>
      <c r="M48" s="8" t="inlineStr">
        <is>
          <t>가나랜드, 경남지사</t>
        </is>
      </c>
      <c r="N48" s="8" t="inlineStr">
        <is>
          <t>방문 준비 체크리스트</t>
        </is>
      </c>
      <c r="O48" s="8" t="inlineStr">
        <is>
          <t>분기/비정기</t>
        </is>
      </c>
      <c r="P48" s="8" t="inlineStr">
        <is>
          <t>반정형</t>
        </is>
      </c>
      <c r="Q48" s="8" t="inlineStr">
        <is>
          <t>모름</t>
        </is>
      </c>
      <c r="R48" s="9" t="inlineStr">
        <is>
          <t>대리점 방문 준비 체크리스트 표준화</t>
        </is>
      </c>
    </row>
    <row r="49" ht="19.5" customHeight="1" s="26">
      <c r="A49" s="53">
        <f>IF($B$3="","",$B$3+2)</f>
        <v/>
      </c>
      <c r="B49" s="6" t="inlineStr">
        <is>
          <t>수</t>
        </is>
      </c>
      <c r="C49" s="54" t="n">
        <v>0.4375</v>
      </c>
      <c r="D49" s="54" t="n">
        <v>0.4791666666666667</v>
      </c>
      <c r="E49" s="5">
        <f>IF(OR(C49="",D49=""),"",(D49-C49)*1440)</f>
        <v/>
      </c>
      <c r="F49" s="8" t="inlineStr">
        <is>
          <t>마케팅·광고운영</t>
        </is>
      </c>
      <c r="G49" s="8" t="inlineStr">
        <is>
          <t>MKT-05 프로모션·기획전 기획</t>
        </is>
      </c>
      <c r="H49" s="9" t="inlineStr">
        <is>
          <t>스토어 8~10월 프로모션 기획안 검토 및 피드백(민지님)</t>
        </is>
      </c>
      <c r="I49" s="8" t="inlineStr">
        <is>
          <t>POUR스토어</t>
        </is>
      </c>
      <c r="J49" s="8" t="inlineStr">
        <is>
          <t>CRM센터-POUR OS(업무보드)</t>
        </is>
      </c>
      <c r="K49" s="43" t="inlineStr">
        <is>
          <t>https://pourstorecrm.web.app/pour-os</t>
        </is>
      </c>
      <c r="L49" s="8" t="inlineStr">
        <is>
          <t>김민지</t>
        </is>
      </c>
      <c r="M49" s="8" t="n"/>
      <c r="N49" s="8" t="inlineStr">
        <is>
          <t>프로모션 기획 피드백</t>
        </is>
      </c>
      <c r="O49" s="8" t="inlineStr">
        <is>
          <t>월 1회</t>
        </is>
      </c>
      <c r="P49" s="8" t="inlineStr">
        <is>
          <t>반정형</t>
        </is>
      </c>
      <c r="Q49" s="8" t="inlineStr">
        <is>
          <t>아마도 중복</t>
        </is>
      </c>
      <c r="R49" s="9" t="inlineStr">
        <is>
          <t>본부 공용 프로모션 캘린더로 3팀 일정·중복 방지</t>
        </is>
      </c>
    </row>
    <row r="50" ht="19.5" customHeight="1" s="26">
      <c r="A50" s="53">
        <f>IF($B$3="","",$B$3+2)</f>
        <v/>
      </c>
      <c r="B50" s="6" t="inlineStr">
        <is>
          <t>수</t>
        </is>
      </c>
      <c r="C50" s="54" t="n">
        <v>0.4791666666666667</v>
      </c>
      <c r="D50" s="54" t="n">
        <v>0.5</v>
      </c>
      <c r="E50" s="5">
        <f>IF(OR(C50="",D50=""),"",(D50-C50)*1440)</f>
        <v/>
      </c>
      <c r="F50" s="8" t="inlineStr">
        <is>
          <t>마케팅·광고운영</t>
        </is>
      </c>
      <c r="G50" s="8" t="inlineStr">
        <is>
          <t>MKT-02 광고 성과 모니터링·최적화</t>
        </is>
      </c>
      <c r="H50" s="9" t="inlineStr">
        <is>
          <t>신제품(철재페인트) 키워드광고 상위노출 확인</t>
        </is>
      </c>
      <c r="I50" s="8" t="inlineStr">
        <is>
          <t>신제품 철재페인트 / 네이버</t>
        </is>
      </c>
      <c r="J50" s="8" t="inlineStr">
        <is>
          <t>네이버 검색, 검색광고 관리자</t>
        </is>
      </c>
      <c r="L50" s="8" t="n"/>
      <c r="M50" s="8" t="n"/>
      <c r="N50" s="8" t="inlineStr">
        <is>
          <t>노출 순위 점검 메모</t>
        </is>
      </c>
      <c r="O50" s="8" t="inlineStr">
        <is>
          <t>주 2~3회</t>
        </is>
      </c>
      <c r="P50" s="8" t="inlineStr">
        <is>
          <t>정형(매뉴얼화 가능)</t>
        </is>
      </c>
      <c r="Q50" s="8" t="inlineStr">
        <is>
          <t>예 - 확실히 중복</t>
        </is>
      </c>
      <c r="R50" s="9" t="inlineStr">
        <is>
          <t>키워드 순위 자동 추적 리포트로 대체</t>
        </is>
      </c>
    </row>
    <row r="51" ht="19.5" customHeight="1" s="26">
      <c r="A51" s="53">
        <f>IF($B$3="","",$B$3+2)</f>
        <v/>
      </c>
      <c r="B51" s="6" t="inlineStr">
        <is>
          <t>수</t>
        </is>
      </c>
      <c r="C51" s="54" t="n">
        <v>0.5</v>
      </c>
      <c r="D51" s="54" t="n">
        <v>0.5416666666666666</v>
      </c>
      <c r="E51" s="5">
        <f>IF(OR(C51="",D51=""),"",(D51-C51)*1440)</f>
        <v/>
      </c>
      <c r="F51" s="8" t="inlineStr">
        <is>
          <t>기타·행정</t>
        </is>
      </c>
      <c r="G51" s="8" t="inlineStr">
        <is>
          <t>ETC-05 휴게·점심</t>
        </is>
      </c>
      <c r="H51" s="9" t="inlineStr">
        <is>
          <t>점심 및 휴게</t>
        </is>
      </c>
      <c r="I51" s="8" t="n"/>
      <c r="J51" s="8" t="n"/>
      <c r="L51" s="8" t="n"/>
      <c r="M51" s="8" t="n"/>
      <c r="N51" s="8" t="n"/>
      <c r="O51" s="8" t="inlineStr">
        <is>
          <t>매일</t>
        </is>
      </c>
      <c r="P51" s="8" t="inlineStr">
        <is>
          <t>정형(매뉴얼화 가능)</t>
        </is>
      </c>
      <c r="Q51" s="8" t="inlineStr">
        <is>
          <t>예 - 확실히 중복</t>
        </is>
      </c>
      <c r="R51" s="9" t="n"/>
    </row>
    <row r="52" ht="19.5" customHeight="1" s="26">
      <c r="A52" s="53">
        <f>IF($B$3="","",$B$3+2)</f>
        <v/>
      </c>
      <c r="B52" s="6" t="inlineStr">
        <is>
          <t>수</t>
        </is>
      </c>
      <c r="C52" s="54" t="n">
        <v>0.5416666666666666</v>
      </c>
      <c r="D52" s="54" t="n">
        <v>0.5833333333333334</v>
      </c>
      <c r="E52" s="5">
        <f>IF(OR(C52="",D52=""),"",(D52-C52)*1440)</f>
        <v/>
      </c>
      <c r="F52" s="8" t="inlineStr">
        <is>
          <t>기획·보고·회의</t>
        </is>
      </c>
      <c r="G52" s="8" t="inlineStr">
        <is>
          <t>MGT-06 팀원 업무·산출물 검토·피드백</t>
        </is>
      </c>
      <c r="H52" s="9" t="inlineStr">
        <is>
          <t>AX+업무리스트 보고서 검토 및 피드백(정하님)</t>
        </is>
      </c>
      <c r="I52" s="8" t="inlineStr">
        <is>
          <t>팀 업무관리</t>
        </is>
      </c>
      <c r="J52" s="8" t="inlineStr">
        <is>
          <t>CRM센터-POUR OS(업무보드)</t>
        </is>
      </c>
      <c r="K52" s="43" t="inlineStr">
        <is>
          <t>https://pourstorecrm.web.app/pour-os</t>
        </is>
      </c>
      <c r="L52" s="8" t="inlineStr">
        <is>
          <t>용정하</t>
        </is>
      </c>
      <c r="M52" s="8" t="n"/>
      <c r="N52" s="8" t="inlineStr">
        <is>
          <t>검토 피드백</t>
        </is>
      </c>
      <c r="O52" s="8" t="inlineStr">
        <is>
          <t>주 1회</t>
        </is>
      </c>
      <c r="P52" s="8" t="inlineStr">
        <is>
          <t>비정형(판단 필요)</t>
        </is>
      </c>
      <c r="Q52" s="8" t="inlineStr">
        <is>
          <t>아마도 중복</t>
        </is>
      </c>
      <c r="R52" s="9" t="inlineStr">
        <is>
          <t>업무보드 데이터 자동 집계로 보고서 수기작성 제거</t>
        </is>
      </c>
    </row>
    <row r="53" ht="19.5" customHeight="1" s="26">
      <c r="A53" s="53">
        <f>IF($B$3="","",$B$3+2)</f>
        <v/>
      </c>
      <c r="B53" s="6" t="inlineStr">
        <is>
          <t>수</t>
        </is>
      </c>
      <c r="C53" s="54" t="n">
        <v>0.5833333333333334</v>
      </c>
      <c r="D53" s="54" t="n">
        <v>0.6041666666666666</v>
      </c>
      <c r="E53" s="5">
        <f>IF(OR(C53="",D53=""),"",(D53-C53)*1440)</f>
        <v/>
      </c>
      <c r="F53" s="8" t="inlineStr">
        <is>
          <t>기획·보고·회의</t>
        </is>
      </c>
      <c r="G53" s="8" t="inlineStr">
        <is>
          <t>MGT-06 팀원 업무·산출물 검토·피드백</t>
        </is>
      </c>
      <c r="H53" s="9" t="inlineStr">
        <is>
          <t>AX+업무리스트 보고서 검토 및 피드백(채림님)</t>
        </is>
      </c>
      <c r="I53" s="8" t="inlineStr">
        <is>
          <t>팀 업무관리</t>
        </is>
      </c>
      <c r="J53" s="8" t="inlineStr">
        <is>
          <t>CRM센터-POUR OS(업무보드)</t>
        </is>
      </c>
      <c r="K53" s="43" t="inlineStr">
        <is>
          <t>https://pourstorecrm.web.app/pour-os</t>
        </is>
      </c>
      <c r="L53" s="8" t="inlineStr">
        <is>
          <t>양채림</t>
        </is>
      </c>
      <c r="M53" s="8" t="n"/>
      <c r="N53" s="8" t="inlineStr">
        <is>
          <t>검토 피드백</t>
        </is>
      </c>
      <c r="O53" s="8" t="inlineStr">
        <is>
          <t>주 1회</t>
        </is>
      </c>
      <c r="P53" s="8" t="inlineStr">
        <is>
          <t>비정형(판단 필요)</t>
        </is>
      </c>
      <c r="Q53" s="8" t="inlineStr">
        <is>
          <t>아마도 중복</t>
        </is>
      </c>
      <c r="R53" s="9" t="inlineStr">
        <is>
          <t>업무보드 데이터 자동 집계로 보고서 수기작성 제거</t>
        </is>
      </c>
    </row>
    <row r="54" ht="19.5" customHeight="1" s="26">
      <c r="A54" s="53">
        <f>IF($B$3="","",$B$3+2)</f>
        <v/>
      </c>
      <c r="B54" s="6" t="inlineStr">
        <is>
          <t>수</t>
        </is>
      </c>
      <c r="C54" s="54" t="n">
        <v>0.6041666666666666</v>
      </c>
      <c r="D54" s="54" t="n">
        <v>0.6458333333333334</v>
      </c>
      <c r="E54" s="5">
        <f>IF(OR(C54="",D54=""),"",(D54-C54)*1440)</f>
        <v/>
      </c>
      <c r="F54" s="8" t="inlineStr">
        <is>
          <t>기획·보고·회의</t>
        </is>
      </c>
      <c r="G54" s="8" t="inlineStr">
        <is>
          <t>MGT-07 업무 인수인계·이관</t>
        </is>
      </c>
      <c r="H54" s="9" t="inlineStr">
        <is>
          <t>그로홈 업무 인수인계 받음 — 담당 범위·진행건 확인</t>
        </is>
      </c>
      <c r="I54" s="8" t="inlineStr">
        <is>
          <t>그로홈</t>
        </is>
      </c>
      <c r="J54" s="8" t="inlineStr">
        <is>
          <t>CRM센터-POUR OS(업무보드)</t>
        </is>
      </c>
      <c r="K54" s="43" t="inlineStr">
        <is>
          <t>https://pourstorecrm.web.app/pour-os</t>
        </is>
      </c>
      <c r="L54" s="8" t="n"/>
      <c r="M54" s="8" t="n"/>
      <c r="N54" s="8" t="inlineStr">
        <is>
          <t>인수인계 항목 정리</t>
        </is>
      </c>
      <c r="O54" s="8" t="inlineStr">
        <is>
          <t>1회성</t>
        </is>
      </c>
      <c r="P54" s="8" t="inlineStr">
        <is>
          <t>비정형(판단 필요)</t>
        </is>
      </c>
      <c r="Q54" s="8" t="inlineStr">
        <is>
          <t>모름</t>
        </is>
      </c>
      <c r="R54" s="9" t="inlineStr">
        <is>
          <t>인수인계 체크리스트·담당 매핑표 상시 관리</t>
        </is>
      </c>
    </row>
    <row r="55" ht="19.5" customHeight="1" s="26">
      <c r="A55" s="53">
        <f>IF($B$3="","",$B$3+2)</f>
        <v/>
      </c>
      <c r="B55" s="6" t="inlineStr">
        <is>
          <t>수</t>
        </is>
      </c>
      <c r="C55" s="54" t="n">
        <v>0.6458333333333334</v>
      </c>
      <c r="D55" s="54" t="n">
        <v>0.6875</v>
      </c>
      <c r="E55" s="5">
        <f>IF(OR(C55="",D55=""),"",(D55-C55)*1440)</f>
        <v/>
      </c>
      <c r="F55" s="8" t="inlineStr">
        <is>
          <t>콘텐츠제작</t>
        </is>
      </c>
      <c r="G55" s="8" t="inlineStr">
        <is>
          <t>CNT-07 카탈로그·영업자료 제작</t>
        </is>
      </c>
      <c r="H55" s="9" t="inlineStr">
        <is>
          <t>부자재 소개 카달로그 제작</t>
        </is>
      </c>
      <c r="I55" s="8" t="inlineStr">
        <is>
          <t>부자재</t>
        </is>
      </c>
      <c r="J55" s="8" t="n"/>
      <c r="L55" s="8" t="n"/>
      <c r="M55" s="8" t="n"/>
      <c r="N55" s="8" t="inlineStr">
        <is>
          <t>부자재 소개 카달로그</t>
        </is>
      </c>
      <c r="O55" s="8" t="inlineStr">
        <is>
          <t>1회성</t>
        </is>
      </c>
      <c r="P55" s="8" t="inlineStr">
        <is>
          <t>반정형</t>
        </is>
      </c>
      <c r="Q55" s="8" t="inlineStr">
        <is>
          <t>아마도 중복</t>
        </is>
      </c>
      <c r="R55" s="9" t="inlineStr">
        <is>
          <t>상품 마스터 데이터로 카달로그 자동 생성</t>
        </is>
      </c>
    </row>
    <row r="56" ht="19.5" customHeight="1" s="26">
      <c r="A56" s="53">
        <f>IF($B$3="","",$B$3+2)</f>
        <v/>
      </c>
      <c r="B56" s="6" t="inlineStr">
        <is>
          <t>수</t>
        </is>
      </c>
      <c r="C56" s="54" t="n">
        <v>0.6875</v>
      </c>
      <c r="D56" s="54" t="n">
        <v>0.7291666666666666</v>
      </c>
      <c r="E56" s="5">
        <f>IF(OR(C56="",D56=""),"",(D56-C56)*1440)</f>
        <v/>
      </c>
      <c r="F56" s="8" t="inlineStr">
        <is>
          <t>데이터·정산</t>
        </is>
      </c>
      <c r="G56" s="8" t="inlineStr">
        <is>
          <t>DAT-04 리포트·대시보드 작성</t>
        </is>
      </c>
      <c r="H56" s="9" t="inlineStr">
        <is>
          <t>POUR스토어 단가·공헌이익·손익계산 대시보드 제작 — 진행중</t>
        </is>
      </c>
      <c r="I56" s="8" t="inlineStr">
        <is>
          <t>POUR스토어</t>
        </is>
      </c>
      <c r="J56" s="8" t="inlineStr">
        <is>
          <t>단가 대시보드, 엑셀</t>
        </is>
      </c>
      <c r="K56" t="inlineStr">
        <is>
          <t>POUR스토어 가격·마진 통합 대시보드 (pour-construction-form.pages.dev)</t>
        </is>
      </c>
      <c r="L56" s="8" t="n"/>
      <c r="M56" s="8" t="n"/>
      <c r="N56" s="8" t="inlineStr">
        <is>
          <t>단가·공헌이익·손익 대시보드</t>
        </is>
      </c>
      <c r="O56" s="8" t="inlineStr">
        <is>
          <t>주 2~3회</t>
        </is>
      </c>
      <c r="P56" s="8" t="inlineStr">
        <is>
          <t>비정형(판단 필요)</t>
        </is>
      </c>
      <c r="Q56" s="8" t="inlineStr">
        <is>
          <t>아마도 중복</t>
        </is>
      </c>
      <c r="R56" s="9" t="inlineStr">
        <is>
          <t>채널 수수료·원가 데이터 자동 연동으로 수기 입력 제거</t>
        </is>
      </c>
    </row>
    <row r="57" ht="19.5" customHeight="1" s="26">
      <c r="A57" s="53">
        <f>IF($B$3="","",$B$3+2)</f>
        <v/>
      </c>
      <c r="B57" s="6" t="inlineStr">
        <is>
          <t>수</t>
        </is>
      </c>
      <c r="C57" s="54" t="n">
        <v>0.7291666666666666</v>
      </c>
      <c r="D57" s="54" t="n">
        <v>0.75</v>
      </c>
      <c r="E57" s="5">
        <f>IF(OR(C57="",D57=""),"",(D57-C57)*1440)</f>
        <v/>
      </c>
      <c r="F57" s="8" t="inlineStr">
        <is>
          <t>제조·생산관리</t>
        </is>
      </c>
      <c r="G57" s="8" t="inlineStr">
        <is>
          <t>MFG-08 MSDS·라벨 등 제품 표시사항 제작</t>
        </is>
      </c>
      <c r="H57" s="9" t="inlineStr">
        <is>
          <t>신제품 코트재 MSDS 컬러별 31개 제작 — 진행중</t>
        </is>
      </c>
      <c r="I57" s="8" t="inlineStr">
        <is>
          <t>코트재 신제품 31색</t>
        </is>
      </c>
      <c r="J57" s="8" t="inlineStr">
        <is>
          <t>챗지피티</t>
        </is>
      </c>
      <c r="L57" s="8" t="n"/>
      <c r="M57" s="8" t="inlineStr">
        <is>
          <t>세이고, 쿠팡물류센터</t>
        </is>
      </c>
      <c r="N57" s="8" t="inlineStr">
        <is>
          <t>MSDS 31종</t>
        </is>
      </c>
      <c r="O57" s="8" t="inlineStr">
        <is>
          <t>1회성</t>
        </is>
      </c>
      <c r="P57" s="8" t="inlineStr">
        <is>
          <t>반정형</t>
        </is>
      </c>
      <c r="Q57" s="8" t="inlineStr">
        <is>
          <t>아니오 - 우리팀 고유</t>
        </is>
      </c>
      <c r="R57" s="9" t="inlineStr">
        <is>
          <t>품목·색상 데이터 연동으로 MSDS 서식 자동 생성</t>
        </is>
      </c>
    </row>
    <row r="58" ht="19.5" customHeight="1" s="26">
      <c r="A58" s="53">
        <f>IF($B$3="","",$B$3+2)</f>
        <v/>
      </c>
      <c r="B58" s="6" t="inlineStr">
        <is>
          <t>수</t>
        </is>
      </c>
      <c r="C58" s="54" t="n"/>
      <c r="D58" s="54" t="n"/>
      <c r="E58" s="5">
        <f>IF(OR(C58="",D58=""),"",(D58-C58)*1440)</f>
        <v/>
      </c>
      <c r="F58" s="8" t="n"/>
      <c r="G58" s="8" t="n"/>
      <c r="H58" s="9" t="n"/>
      <c r="I58" s="8" t="n"/>
      <c r="J58" s="8" t="n"/>
      <c r="L58" s="8" t="n"/>
      <c r="M58" s="8" t="n"/>
      <c r="N58" s="8" t="n"/>
      <c r="O58" s="8" t="n"/>
      <c r="P58" s="8" t="n"/>
      <c r="Q58" s="8" t="n"/>
      <c r="R58" s="9" t="n"/>
    </row>
    <row r="59" ht="19.5" customHeight="1" s="26">
      <c r="A59" s="53">
        <f>IF($B$3="","",$B$3+2)</f>
        <v/>
      </c>
      <c r="B59" s="6" t="inlineStr">
        <is>
          <t>수</t>
        </is>
      </c>
      <c r="C59" s="54" t="n"/>
      <c r="D59" s="54" t="n"/>
      <c r="E59" s="5">
        <f>IF(OR(C59="",D59=""),"",(D59-C59)*1440)</f>
        <v/>
      </c>
      <c r="F59" s="8" t="n"/>
      <c r="G59" s="8" t="n"/>
      <c r="H59" s="9" t="n"/>
      <c r="I59" s="8" t="n"/>
      <c r="J59" s="8" t="n"/>
      <c r="L59" s="8" t="n"/>
      <c r="M59" s="8" t="n"/>
      <c r="N59" s="8" t="n"/>
      <c r="O59" s="8" t="n"/>
      <c r="P59" s="8" t="n"/>
      <c r="Q59" s="8" t="n"/>
      <c r="R59" s="9" t="n"/>
    </row>
    <row r="60" ht="19.5" customHeight="1" s="26">
      <c r="A60" s="53">
        <f>IF($B$3="","",$B$3+2)</f>
        <v/>
      </c>
      <c r="B60" s="6" t="inlineStr">
        <is>
          <t>수</t>
        </is>
      </c>
      <c r="C60" s="54" t="n"/>
      <c r="D60" s="54" t="n"/>
      <c r="E60" s="5">
        <f>IF(OR(C60="",D60=""),"",(D60-C60)*1440)</f>
        <v/>
      </c>
      <c r="F60" s="8" t="n"/>
      <c r="G60" s="8" t="n"/>
      <c r="H60" s="9" t="n"/>
      <c r="I60" s="8" t="n"/>
      <c r="J60" s="8" t="n"/>
      <c r="L60" s="8" t="n"/>
      <c r="M60" s="8" t="n"/>
      <c r="N60" s="8" t="n"/>
      <c r="O60" s="8" t="n"/>
      <c r="P60" s="8" t="n"/>
      <c r="Q60" s="8" t="n"/>
      <c r="R60" s="9" t="n"/>
    </row>
    <row r="61" ht="19.5" customHeight="1" s="26">
      <c r="A61" s="53">
        <f>IF($B$3="","",$B$3+2)</f>
        <v/>
      </c>
      <c r="B61" s="6" t="inlineStr">
        <is>
          <t>수</t>
        </is>
      </c>
      <c r="C61" s="54" t="n"/>
      <c r="D61" s="54" t="n"/>
      <c r="E61" s="5">
        <f>IF(OR(C61="",D61=""),"",(D61-C61)*1440)</f>
        <v/>
      </c>
      <c r="F61" s="8" t="n"/>
      <c r="G61" s="8" t="n"/>
      <c r="H61" s="9" t="n"/>
      <c r="I61" s="8" t="n"/>
      <c r="J61" s="8" t="n"/>
      <c r="L61" s="8" t="n"/>
      <c r="M61" s="8" t="n"/>
      <c r="N61" s="8" t="n"/>
      <c r="O61" s="8" t="n"/>
      <c r="P61" s="8" t="n"/>
      <c r="Q61" s="8" t="n"/>
      <c r="R61" s="9" t="n"/>
    </row>
    <row r="62" ht="19.5" customHeight="1" s="26">
      <c r="A62" s="53">
        <f>IF($B$3="","",$B$3+2)</f>
        <v/>
      </c>
      <c r="B62" s="6" t="inlineStr">
        <is>
          <t>수</t>
        </is>
      </c>
      <c r="C62" s="54" t="n"/>
      <c r="D62" s="54" t="n"/>
      <c r="E62" s="5">
        <f>IF(OR(C62="",D62=""),"",(D62-C62)*1440)</f>
        <v/>
      </c>
      <c r="F62" s="8" t="n"/>
      <c r="G62" s="8" t="n"/>
      <c r="H62" s="9" t="n"/>
      <c r="I62" s="8" t="n"/>
      <c r="J62" s="8" t="n"/>
      <c r="L62" s="8" t="n"/>
      <c r="M62" s="8" t="n"/>
      <c r="N62" s="8" t="n"/>
      <c r="O62" s="8" t="n"/>
      <c r="P62" s="8" t="n"/>
      <c r="Q62" s="8" t="n"/>
      <c r="R62" s="9" t="n"/>
    </row>
    <row r="63" ht="19.5" customHeight="1" s="26">
      <c r="A63" s="53">
        <f>IF($B$3="","",$B$3+2)</f>
        <v/>
      </c>
      <c r="B63" s="6" t="inlineStr">
        <is>
          <t>수</t>
        </is>
      </c>
      <c r="C63" s="54" t="n"/>
      <c r="D63" s="54" t="n"/>
      <c r="E63" s="5">
        <f>IF(OR(C63="",D63=""),"",(D63-C63)*1440)</f>
        <v/>
      </c>
      <c r="F63" s="8" t="n"/>
      <c r="G63" s="8" t="n"/>
      <c r="H63" s="9" t="n"/>
      <c r="I63" s="8" t="n"/>
      <c r="J63" s="8" t="n"/>
      <c r="L63" s="8" t="n"/>
      <c r="M63" s="8" t="n"/>
      <c r="N63" s="8" t="n"/>
      <c r="O63" s="8" t="n"/>
      <c r="P63" s="8" t="n"/>
      <c r="Q63" s="8" t="n"/>
      <c r="R63" s="9" t="n"/>
    </row>
    <row r="64" ht="19.5" customHeight="1" s="26">
      <c r="A64" s="53">
        <f>IF($B$3="","",$B$3+2)</f>
        <v/>
      </c>
      <c r="B64" s="6" t="inlineStr">
        <is>
          <t>수</t>
        </is>
      </c>
      <c r="C64" s="54" t="n"/>
      <c r="D64" s="54" t="n"/>
      <c r="E64" s="5">
        <f>IF(OR(C64="",D64=""),"",(D64-C64)*1440)</f>
        <v/>
      </c>
      <c r="F64" s="8" t="n"/>
      <c r="G64" s="8" t="n"/>
      <c r="H64" s="9" t="n"/>
      <c r="I64" s="8" t="n"/>
      <c r="J64" s="8" t="n"/>
      <c r="L64" s="8" t="n"/>
      <c r="M64" s="8" t="n"/>
      <c r="N64" s="8" t="n"/>
      <c r="O64" s="8" t="n"/>
      <c r="P64" s="8" t="n"/>
      <c r="Q64" s="8" t="n"/>
      <c r="R64" s="9" t="n"/>
    </row>
    <row r="65" ht="19.5" customHeight="1" s="26">
      <c r="A65" s="53">
        <f>IF($B$3="","",$B$3+2)</f>
        <v/>
      </c>
      <c r="B65" s="6" t="inlineStr">
        <is>
          <t>수(추가)</t>
        </is>
      </c>
      <c r="C65" s="54" t="n"/>
      <c r="D65" s="54" t="n"/>
      <c r="E65" s="5">
        <f>IF(OR(C65="",D65=""),"",(D65-C65)*1440)</f>
        <v/>
      </c>
      <c r="F65" s="8" t="n"/>
      <c r="G65" s="8" t="n"/>
      <c r="H65" s="9" t="n"/>
      <c r="I65" s="8" t="n"/>
      <c r="J65" s="8" t="n"/>
      <c r="L65" s="8" t="n"/>
      <c r="M65" s="8" t="n"/>
      <c r="N65" s="8" t="n"/>
      <c r="O65" s="8" t="n"/>
      <c r="P65" s="8" t="n"/>
      <c r="Q65" s="8" t="n"/>
      <c r="R65" s="9" t="n"/>
    </row>
    <row r="66" ht="19.5" customHeight="1" s="26">
      <c r="A66" s="53">
        <f>IF($B$3="","",$B$3+2)</f>
        <v/>
      </c>
      <c r="B66" s="6" t="inlineStr">
        <is>
          <t>수(추가)</t>
        </is>
      </c>
      <c r="C66" s="54" t="n"/>
      <c r="D66" s="54" t="n"/>
      <c r="E66" s="5">
        <f>IF(OR(C66="",D66=""),"",(D66-C66)*1440)</f>
        <v/>
      </c>
      <c r="F66" s="8" t="n"/>
      <c r="G66" s="8" t="n"/>
      <c r="H66" s="9" t="n"/>
      <c r="I66" s="8" t="n"/>
      <c r="J66" s="8" t="n"/>
      <c r="L66" s="8" t="n"/>
      <c r="M66" s="8" t="n"/>
      <c r="N66" s="8" t="n"/>
      <c r="O66" s="8" t="n"/>
      <c r="P66" s="8" t="n"/>
      <c r="Q66" s="8" t="n"/>
      <c r="R66" s="9" t="n"/>
    </row>
    <row r="67" ht="19.5" customHeight="1" s="26">
      <c r="A67" s="53">
        <f>IF($B$3="","",$B$3+3)</f>
        <v/>
      </c>
      <c r="B67" s="6" t="inlineStr">
        <is>
          <t>목</t>
        </is>
      </c>
      <c r="C67" s="54" t="n">
        <v>0.375</v>
      </c>
      <c r="D67" s="54" t="n">
        <v>0.3958333333333333</v>
      </c>
      <c r="E67" s="5">
        <f>IF(OR(C67="",D67=""),"",(D67-C67)*1440)</f>
        <v/>
      </c>
      <c r="F67" s="8" t="inlineStr">
        <is>
          <t>기타·행정</t>
        </is>
      </c>
      <c r="G67" s="8" t="inlineStr">
        <is>
          <t>ETC-01 메일·메신저 확인 및 회신</t>
        </is>
      </c>
      <c r="H67" s="9" t="inlineStr">
        <is>
          <t>출근 후 메일·메신저·업무보드 확인 및 회신</t>
        </is>
      </c>
      <c r="I67" s="8" t="inlineStr">
        <is>
          <t>전사</t>
        </is>
      </c>
      <c r="J67" s="8" t="inlineStr">
        <is>
          <t>CRM센터-POUR OS(업무보드)</t>
        </is>
      </c>
      <c r="K67" s="43" t="inlineStr">
        <is>
          <t>https://pourstorecrm.web.app/pour-os</t>
        </is>
      </c>
      <c r="L67" s="8" t="n"/>
      <c r="M67" s="8" t="n"/>
      <c r="N67" s="8" t="inlineStr">
        <is>
          <t>회신 처리</t>
        </is>
      </c>
      <c r="O67" s="8" t="inlineStr">
        <is>
          <t>매일</t>
        </is>
      </c>
      <c r="P67" s="8" t="inlineStr">
        <is>
          <t>정형(매뉴얼화 가능)</t>
        </is>
      </c>
      <c r="Q67" s="8" t="inlineStr">
        <is>
          <t>예 - 확실히 중복</t>
        </is>
      </c>
      <c r="R67" s="9" t="inlineStr">
        <is>
          <t>팀별 요청·공지를 업무보드 알림 하나로 일원화</t>
        </is>
      </c>
    </row>
    <row r="68" ht="19.5" customHeight="1" s="26">
      <c r="A68" s="53">
        <f>IF($B$3="","",$B$3+3)</f>
        <v/>
      </c>
      <c r="B68" s="6" t="inlineStr">
        <is>
          <t>목</t>
        </is>
      </c>
      <c r="C68" s="54" t="n">
        <v>0.3958333333333333</v>
      </c>
      <c r="D68" s="54" t="n">
        <v>0.4375</v>
      </c>
      <c r="E68" s="5">
        <f>IF(OR(C68="",D68=""),"",(D68-C68)*1440)</f>
        <v/>
      </c>
      <c r="F68" s="8" t="inlineStr">
        <is>
          <t>마케팅·광고운영</t>
        </is>
      </c>
      <c r="G68" s="8" t="inlineStr">
        <is>
          <t>MKT-08 제휴마케팅(링크프라이스 등) 운영·성과확인</t>
        </is>
      </c>
      <c r="H68" s="9" t="inlineStr">
        <is>
          <t>링크프라이스 네이버쇼핑·파워링크 주간보고 수령 → 본부장님 보고 → 보성님 인계</t>
        </is>
      </c>
      <c r="I68" s="8" t="inlineStr">
        <is>
          <t>POUR스토어 / 네이버쇼핑·파워링크</t>
        </is>
      </c>
      <c r="J68" s="8" t="inlineStr">
        <is>
          <t>링크프라이스 관리자</t>
        </is>
      </c>
      <c r="L68" s="8" t="inlineStr">
        <is>
          <t>본부장, 보성님</t>
        </is>
      </c>
      <c r="M68" s="8" t="inlineStr">
        <is>
          <t>링크프라이스</t>
        </is>
      </c>
      <c r="N68" s="8" t="inlineStr">
        <is>
          <t>제휴·검색광고 주간보고</t>
        </is>
      </c>
      <c r="O68" s="8" t="inlineStr">
        <is>
          <t>주 1회</t>
        </is>
      </c>
      <c r="P68" s="8" t="inlineStr">
        <is>
          <t>정형(매뉴얼화 가능)</t>
        </is>
      </c>
      <c r="Q68" s="8" t="inlineStr">
        <is>
          <t>예 - 확실히 중복</t>
        </is>
      </c>
      <c r="R68" s="9" t="inlineStr">
        <is>
          <t>주간보고 자동 생성 후 공유(수령→전달 단계 제거)</t>
        </is>
      </c>
    </row>
    <row r="69" ht="19.5" customHeight="1" s="26">
      <c r="A69" s="53">
        <f>IF($B$3="","",$B$3+3)</f>
        <v/>
      </c>
      <c r="B69" s="6" t="inlineStr">
        <is>
          <t>목</t>
        </is>
      </c>
      <c r="C69" s="54" t="n">
        <v>0.4375</v>
      </c>
      <c r="D69" s="54" t="n">
        <v>0.4791666666666667</v>
      </c>
      <c r="E69" s="5">
        <f>IF(OR(C69="",D69=""),"",(D69-C69)*1440)</f>
        <v/>
      </c>
      <c r="F69" s="8" t="inlineStr">
        <is>
          <t>기타·행정</t>
        </is>
      </c>
      <c r="G69" s="8" t="inlineStr">
        <is>
          <t>ETC-02 행정·경비·구매 처리</t>
        </is>
      </c>
      <c r="H69" s="9" t="inlineStr">
        <is>
          <t>씰맥스프로 결제 처리 및 세이고 입고내역 자료 송부(김성준 공장장님께)</t>
        </is>
      </c>
      <c r="I69" s="8" t="inlineStr">
        <is>
          <t>씰맥스프로 / 세이고</t>
        </is>
      </c>
      <c r="J69" s="8" t="n"/>
      <c r="L69" s="8" t="inlineStr">
        <is>
          <t>김성준 공장장</t>
        </is>
      </c>
      <c r="M69" s="8" t="inlineStr">
        <is>
          <t>세이고</t>
        </is>
      </c>
      <c r="N69" s="8" t="inlineStr">
        <is>
          <t>결제 완료·입고내역 자료</t>
        </is>
      </c>
      <c r="O69" s="8" t="inlineStr">
        <is>
          <t>주 1회</t>
        </is>
      </c>
      <c r="P69" s="8" t="inlineStr">
        <is>
          <t>정형(매뉴얼화 가능)</t>
        </is>
      </c>
      <c r="Q69" s="8" t="inlineStr">
        <is>
          <t>아마도 중복</t>
        </is>
      </c>
      <c r="R69" s="9" t="inlineStr">
        <is>
          <t>결제·입고내역 자동 정산 시트 연동</t>
        </is>
      </c>
    </row>
    <row r="70" ht="19.5" customHeight="1" s="26">
      <c r="A70" s="53">
        <f>IF($B$3="","",$B$3+3)</f>
        <v/>
      </c>
      <c r="B70" s="6" t="inlineStr">
        <is>
          <t>목</t>
        </is>
      </c>
      <c r="C70" s="54" t="n">
        <v>0.4791666666666667</v>
      </c>
      <c r="D70" s="54" t="n">
        <v>0.5</v>
      </c>
      <c r="E70" s="5">
        <f>IF(OR(C70="",D70=""),"",(D70-C70)*1440)</f>
        <v/>
      </c>
      <c r="F70" s="8" t="inlineStr">
        <is>
          <t>기획·보고·회의</t>
        </is>
      </c>
      <c r="G70" s="8" t="inlineStr">
        <is>
          <t>MGT-06 팀원 업무·산출물 검토·피드백</t>
        </is>
      </c>
      <c r="H70" s="9" t="inlineStr">
        <is>
          <t>정하님 업무정리 리스트 검토</t>
        </is>
      </c>
      <c r="I70" s="8" t="inlineStr">
        <is>
          <t>팀 업무관리</t>
        </is>
      </c>
      <c r="J70" s="8" t="inlineStr">
        <is>
          <t>CRM센터-POUR OS(업무보드)</t>
        </is>
      </c>
      <c r="K70" s="43" t="inlineStr">
        <is>
          <t>https://pourstorecrm.web.app/pour-os</t>
        </is>
      </c>
      <c r="L70" s="8" t="inlineStr">
        <is>
          <t>용정하</t>
        </is>
      </c>
      <c r="M70" s="8" t="n"/>
      <c r="N70" s="8" t="inlineStr">
        <is>
          <t>검토 의견</t>
        </is>
      </c>
      <c r="O70" s="8" t="inlineStr">
        <is>
          <t>주 1회</t>
        </is>
      </c>
      <c r="P70" s="8" t="inlineStr">
        <is>
          <t>비정형(판단 필요)</t>
        </is>
      </c>
      <c r="Q70" s="8" t="inlineStr">
        <is>
          <t>아마도 중복</t>
        </is>
      </c>
      <c r="R70" s="9" t="inlineStr">
        <is>
          <t>업무보드 데이터 자동 집계로 대체</t>
        </is>
      </c>
    </row>
    <row r="71" ht="19.5" customHeight="1" s="26">
      <c r="A71" s="53">
        <f>IF($B$3="","",$B$3+3)</f>
        <v/>
      </c>
      <c r="B71" s="6" t="inlineStr">
        <is>
          <t>목</t>
        </is>
      </c>
      <c r="C71" s="54" t="n">
        <v>0.5</v>
      </c>
      <c r="D71" s="54" t="n">
        <v>0.5416666666666666</v>
      </c>
      <c r="E71" s="5">
        <f>IF(OR(C71="",D71=""),"",(D71-C71)*1440)</f>
        <v/>
      </c>
      <c r="F71" s="8" t="inlineStr">
        <is>
          <t>기타·행정</t>
        </is>
      </c>
      <c r="G71" s="8" t="inlineStr">
        <is>
          <t>ETC-05 휴게·점심</t>
        </is>
      </c>
      <c r="H71" s="9" t="inlineStr">
        <is>
          <t>점심 및 휴게</t>
        </is>
      </c>
      <c r="I71" s="8" t="n"/>
      <c r="J71" s="8" t="n"/>
      <c r="L71" s="8" t="n"/>
      <c r="M71" s="8" t="n"/>
      <c r="N71" s="8" t="n"/>
      <c r="O71" s="8" t="inlineStr">
        <is>
          <t>매일</t>
        </is>
      </c>
      <c r="P71" s="8" t="inlineStr">
        <is>
          <t>정형(매뉴얼화 가능)</t>
        </is>
      </c>
      <c r="Q71" s="8" t="inlineStr">
        <is>
          <t>예 - 확실히 중복</t>
        </is>
      </c>
      <c r="R71" s="9" t="n"/>
    </row>
    <row r="72" ht="19.5" customHeight="1" s="26">
      <c r="A72" s="53">
        <f>IF($B$3="","",$B$3+3)</f>
        <v/>
      </c>
      <c r="B72" s="6" t="inlineStr">
        <is>
          <t>목</t>
        </is>
      </c>
      <c r="C72" s="54" t="n">
        <v>0.5416666666666666</v>
      </c>
      <c r="D72" s="54" t="n">
        <v>0.6041666666666666</v>
      </c>
      <c r="E72" s="5">
        <f>IF(OR(C72="",D72=""),"",(D72-C72)*1440)</f>
        <v/>
      </c>
      <c r="F72" s="8" t="inlineStr">
        <is>
          <t>마케팅·광고운영</t>
        </is>
      </c>
      <c r="G72" s="8" t="inlineStr">
        <is>
          <t>MKT-04 인플루언서·체험단 섭외/관리</t>
        </is>
      </c>
      <c r="H72" s="9" t="inlineStr">
        <is>
          <t>채림님 퍼포먼스마케팅 진행 방안(①직판 ②대리점·파트너사 2트랙 바이럴) 안내 및 매체·대행사 시장조사 요청</t>
        </is>
      </c>
      <c r="I72" s="8" t="inlineStr">
        <is>
          <t>POUR스토어 / 블로그·유튜브·카페·인스타</t>
        </is>
      </c>
      <c r="J72" s="8" t="inlineStr">
        <is>
          <t>레뷰, 리뷰플레이스</t>
        </is>
      </c>
      <c r="K72" s="43" t="inlineStr">
        <is>
          <t>https://pourstorecrm.web.app/pour-os</t>
        </is>
      </c>
      <c r="L72" s="8" t="inlineStr">
        <is>
          <t>양채림</t>
        </is>
      </c>
      <c r="M72" s="8" t="inlineStr">
        <is>
          <t>인플루언서, 바이럴 대행사(레뷰 등)</t>
        </is>
      </c>
      <c r="N72" s="8" t="inlineStr">
        <is>
          <t>진행 방안 안내·시장조사 요청서</t>
        </is>
      </c>
      <c r="O72" s="8" t="inlineStr">
        <is>
          <t>주 1회</t>
        </is>
      </c>
      <c r="P72" s="8" t="inlineStr">
        <is>
          <t>비정형(판단 필요)</t>
        </is>
      </c>
      <c r="Q72" s="8" t="inlineStr">
        <is>
          <t>아마도 중복</t>
        </is>
      </c>
      <c r="R72" s="9" t="inlineStr">
        <is>
          <t>바이럴 매체·대행사 후보 DB 공용화</t>
        </is>
      </c>
    </row>
    <row r="73" ht="19.5" customHeight="1" s="26">
      <c r="A73" s="53">
        <f>IF($B$3="","",$B$3+3)</f>
        <v/>
      </c>
      <c r="B73" s="6" t="inlineStr">
        <is>
          <t>목</t>
        </is>
      </c>
      <c r="C73" s="54" t="n">
        <v>0.6041666666666666</v>
      </c>
      <c r="D73" s="54" t="n">
        <v>0.6458333333333334</v>
      </c>
      <c r="E73" s="5">
        <f>IF(OR(C73="",D73=""),"",(D73-C73)*1440)</f>
        <v/>
      </c>
      <c r="F73" s="8" t="inlineStr">
        <is>
          <t>채널·스토어운영</t>
        </is>
      </c>
      <c r="G73" s="8" t="inlineStr">
        <is>
          <t>CHN-03 자사몰 운영·관리</t>
        </is>
      </c>
      <c r="H73" s="9" t="inlineStr">
        <is>
          <t>자사몰 회원 등급별 구매가능 상품 확인 페이지 제작 및 랜딩 링크 삽입 요청</t>
        </is>
      </c>
      <c r="I73" s="8" t="inlineStr">
        <is>
          <t>POUR스토어 자사몰</t>
        </is>
      </c>
      <c r="J73" s="8" t="inlineStr">
        <is>
          <t>자사몰 관리자</t>
        </is>
      </c>
      <c r="L73" s="8" t="n"/>
      <c r="M73" s="8" t="n"/>
      <c r="N73" s="8" t="inlineStr">
        <is>
          <t>등급별 구매가능 페이지 요청서</t>
        </is>
      </c>
      <c r="O73" s="8" t="inlineStr">
        <is>
          <t>1회성</t>
        </is>
      </c>
      <c r="P73" s="8" t="inlineStr">
        <is>
          <t>반정형</t>
        </is>
      </c>
      <c r="Q73" s="8" t="inlineStr">
        <is>
          <t>모름</t>
        </is>
      </c>
      <c r="R73" s="9" t="inlineStr">
        <is>
          <t>회원등급·판매권한 데이터 연동으로 페이지 자동 생성</t>
        </is>
      </c>
    </row>
    <row r="74" ht="19.5" customHeight="1" s="26">
      <c r="A74" s="53">
        <f>IF($B$3="","",$B$3+3)</f>
        <v/>
      </c>
      <c r="B74" s="6" t="inlineStr">
        <is>
          <t>목</t>
        </is>
      </c>
      <c r="C74" s="54" t="n">
        <v>0.6458333333333334</v>
      </c>
      <c r="D74" s="54" t="n">
        <v>0.7083333333333334</v>
      </c>
      <c r="E74" s="5">
        <f>IF(OR(C74="",D74=""),"",(D74-C74)*1440)</f>
        <v/>
      </c>
      <c r="F74" s="8" t="inlineStr">
        <is>
          <t>데이터·정산</t>
        </is>
      </c>
      <c r="G74" s="8" t="inlineStr">
        <is>
          <t>DAT-04 리포트·대시보드 작성</t>
        </is>
      </c>
      <c r="H74" s="9" t="inlineStr">
        <is>
          <t>POUR스토어 단가·공헌이익·손익계산 대시보드 제작 — 진행중</t>
        </is>
      </c>
      <c r="I74" s="8" t="inlineStr">
        <is>
          <t>POUR스토어</t>
        </is>
      </c>
      <c r="J74" s="8" t="inlineStr">
        <is>
          <t>단가 대시보드, 엑셀</t>
        </is>
      </c>
      <c r="K74" t="inlineStr">
        <is>
          <t>POUR스토어 가격·마진 통합 대시보드 (pour-construction-form.pages.dev)</t>
        </is>
      </c>
      <c r="L74" s="8" t="n"/>
      <c r="M74" s="8" t="n"/>
      <c r="N74" s="8" t="inlineStr">
        <is>
          <t>단가·공헌이익·손익 대시보드</t>
        </is>
      </c>
      <c r="O74" s="8" t="inlineStr">
        <is>
          <t>주 2~3회</t>
        </is>
      </c>
      <c r="P74" s="8" t="inlineStr">
        <is>
          <t>비정형(판단 필요)</t>
        </is>
      </c>
      <c r="Q74" s="8" t="inlineStr">
        <is>
          <t>아마도 중복</t>
        </is>
      </c>
      <c r="R74" s="9" t="inlineStr">
        <is>
          <t>채널 수수료·원가 데이터 자동 연동으로 수기 입력 제거</t>
        </is>
      </c>
    </row>
    <row r="75" ht="19.5" customHeight="1" s="26">
      <c r="A75" s="53">
        <f>IF($B$3="","",$B$3+3)</f>
        <v/>
      </c>
      <c r="B75" s="6" t="inlineStr">
        <is>
          <t>목</t>
        </is>
      </c>
      <c r="C75" s="54" t="n">
        <v>0.7083333333333334</v>
      </c>
      <c r="D75" s="54" t="n">
        <v>0.75</v>
      </c>
      <c r="E75" s="5">
        <f>IF(OR(C75="",D75=""),"",(D75-C75)*1440)</f>
        <v/>
      </c>
      <c r="F75" s="8" t="inlineStr">
        <is>
          <t>제조·생산관리</t>
        </is>
      </c>
      <c r="G75" s="8" t="inlineStr">
        <is>
          <t>MFG-08 MSDS·라벨 등 제품 표시사항 제작</t>
        </is>
      </c>
      <c r="H75" s="9" t="inlineStr">
        <is>
          <t>신제품 코트재 MSDS 컬러별 31개 제작 — 진행중</t>
        </is>
      </c>
      <c r="I75" s="8" t="inlineStr">
        <is>
          <t>코트재 신제품 31색</t>
        </is>
      </c>
      <c r="J75" s="8" t="inlineStr">
        <is>
          <t>챗지피티</t>
        </is>
      </c>
      <c r="L75" s="8" t="n"/>
      <c r="M75" s="8" t="inlineStr">
        <is>
          <t>세이고, 쿠팡물류센터</t>
        </is>
      </c>
      <c r="N75" s="8" t="inlineStr">
        <is>
          <t>MSDS 31종</t>
        </is>
      </c>
      <c r="O75" s="8" t="inlineStr">
        <is>
          <t>1회성</t>
        </is>
      </c>
      <c r="P75" s="8" t="inlineStr">
        <is>
          <t>반정형</t>
        </is>
      </c>
      <c r="Q75" s="8" t="inlineStr">
        <is>
          <t>아니오 - 우리팀 고유</t>
        </is>
      </c>
      <c r="R75" s="9" t="inlineStr">
        <is>
          <t>품목·색상 데이터 연동으로 MSDS 서식 자동 생성</t>
        </is>
      </c>
    </row>
    <row r="76" ht="19.5" customHeight="1" s="26">
      <c r="A76" s="53">
        <f>IF($B$3="","",$B$3+3)</f>
        <v/>
      </c>
      <c r="B76" s="6" t="inlineStr">
        <is>
          <t>목</t>
        </is>
      </c>
      <c r="C76" s="54" t="n"/>
      <c r="D76" s="54" t="n"/>
      <c r="E76" s="5">
        <f>IF(OR(C76="",D76=""),"",(D76-C76)*1440)</f>
        <v/>
      </c>
      <c r="F76" s="8" t="n"/>
      <c r="G76" s="8" t="n"/>
      <c r="H76" s="9" t="n"/>
      <c r="I76" s="8" t="n"/>
      <c r="J76" s="8" t="n"/>
      <c r="L76" s="8" t="n"/>
      <c r="M76" s="8" t="n"/>
      <c r="N76" s="8" t="n"/>
      <c r="O76" s="8" t="n"/>
      <c r="P76" s="8" t="n"/>
      <c r="Q76" s="8" t="n"/>
      <c r="R76" s="9" t="n"/>
    </row>
    <row r="77" ht="19.5" customHeight="1" s="26">
      <c r="A77" s="53">
        <f>IF($B$3="","",$B$3+3)</f>
        <v/>
      </c>
      <c r="B77" s="6" t="inlineStr">
        <is>
          <t>목</t>
        </is>
      </c>
      <c r="C77" s="54" t="n"/>
      <c r="D77" s="54" t="n"/>
      <c r="E77" s="5">
        <f>IF(OR(C77="",D77=""),"",(D77-C77)*1440)</f>
        <v/>
      </c>
      <c r="F77" s="8" t="n"/>
      <c r="G77" s="8" t="n"/>
      <c r="H77" s="9" t="n"/>
      <c r="I77" s="8" t="n"/>
      <c r="J77" s="8" t="n"/>
      <c r="L77" s="8" t="n"/>
      <c r="M77" s="8" t="n"/>
      <c r="N77" s="8" t="n"/>
      <c r="O77" s="8" t="n"/>
      <c r="P77" s="8" t="n"/>
      <c r="Q77" s="8" t="n"/>
      <c r="R77" s="9" t="n"/>
    </row>
    <row r="78" ht="19.5" customHeight="1" s="26">
      <c r="A78" s="53">
        <f>IF($B$3="","",$B$3+3)</f>
        <v/>
      </c>
      <c r="B78" s="6" t="inlineStr">
        <is>
          <t>목</t>
        </is>
      </c>
      <c r="C78" s="54" t="n"/>
      <c r="D78" s="54" t="n"/>
      <c r="E78" s="5">
        <f>IF(OR(C78="",D78=""),"",(D78-C78)*1440)</f>
        <v/>
      </c>
      <c r="F78" s="8" t="n"/>
      <c r="G78" s="8" t="n"/>
      <c r="H78" s="9" t="n"/>
      <c r="I78" s="8" t="n"/>
      <c r="J78" s="8" t="n"/>
      <c r="L78" s="8" t="n"/>
      <c r="M78" s="8" t="n"/>
      <c r="N78" s="8" t="n"/>
      <c r="O78" s="8" t="n"/>
      <c r="P78" s="8" t="n"/>
      <c r="Q78" s="8" t="n"/>
      <c r="R78" s="9" t="n"/>
    </row>
    <row r="79" ht="19.5" customHeight="1" s="26">
      <c r="A79" s="53">
        <f>IF($B$3="","",$B$3+3)</f>
        <v/>
      </c>
      <c r="B79" s="6" t="inlineStr">
        <is>
          <t>목</t>
        </is>
      </c>
      <c r="C79" s="54" t="n"/>
      <c r="D79" s="54" t="n"/>
      <c r="E79" s="5">
        <f>IF(OR(C79="",D79=""),"",(D79-C79)*1440)</f>
        <v/>
      </c>
      <c r="F79" s="8" t="n"/>
      <c r="G79" s="8" t="n"/>
      <c r="H79" s="9" t="n"/>
      <c r="I79" s="8" t="n"/>
      <c r="J79" s="8" t="n"/>
      <c r="L79" s="8" t="n"/>
      <c r="M79" s="8" t="n"/>
      <c r="N79" s="8" t="n"/>
      <c r="O79" s="8" t="n"/>
      <c r="P79" s="8" t="n"/>
      <c r="Q79" s="8" t="n"/>
      <c r="R79" s="9" t="n"/>
    </row>
    <row r="80" ht="19.5" customHeight="1" s="26">
      <c r="A80" s="53">
        <f>IF($B$3="","",$B$3+3)</f>
        <v/>
      </c>
      <c r="B80" s="6" t="inlineStr">
        <is>
          <t>목</t>
        </is>
      </c>
      <c r="C80" s="54" t="n"/>
      <c r="D80" s="54" t="n"/>
      <c r="E80" s="5">
        <f>IF(OR(C80="",D80=""),"",(D80-C80)*1440)</f>
        <v/>
      </c>
      <c r="F80" s="8" t="n"/>
      <c r="G80" s="8" t="n"/>
      <c r="H80" s="9" t="n"/>
      <c r="I80" s="8" t="n"/>
      <c r="J80" s="8" t="n"/>
      <c r="L80" s="8" t="n"/>
      <c r="M80" s="8" t="n"/>
      <c r="N80" s="8" t="n"/>
      <c r="O80" s="8" t="n"/>
      <c r="P80" s="8" t="n"/>
      <c r="Q80" s="8" t="n"/>
      <c r="R80" s="9" t="n"/>
    </row>
    <row r="81" ht="19.5" customHeight="1" s="26">
      <c r="A81" s="53">
        <f>IF($B$3="","",$B$3+3)</f>
        <v/>
      </c>
      <c r="B81" s="6" t="inlineStr">
        <is>
          <t>목</t>
        </is>
      </c>
      <c r="C81" s="54" t="n"/>
      <c r="D81" s="54" t="n"/>
      <c r="E81" s="5">
        <f>IF(OR(C81="",D81=""),"",(D81-C81)*1440)</f>
        <v/>
      </c>
      <c r="F81" s="8" t="n"/>
      <c r="G81" s="8" t="n"/>
      <c r="H81" s="9" t="n"/>
      <c r="I81" s="8" t="n"/>
      <c r="J81" s="8" t="n"/>
      <c r="L81" s="8" t="n"/>
      <c r="M81" s="8" t="n"/>
      <c r="N81" s="8" t="n"/>
      <c r="O81" s="8" t="n"/>
      <c r="P81" s="8" t="n"/>
      <c r="Q81" s="8" t="n"/>
      <c r="R81" s="9" t="n"/>
    </row>
    <row r="82" ht="19.5" customHeight="1" s="26">
      <c r="A82" s="53">
        <f>IF($B$3="","",$B$3+3)</f>
        <v/>
      </c>
      <c r="B82" s="6" t="inlineStr">
        <is>
          <t>목</t>
        </is>
      </c>
      <c r="C82" s="54" t="n"/>
      <c r="D82" s="54" t="n"/>
      <c r="E82" s="5">
        <f>IF(OR(C82="",D82=""),"",(D82-C82)*1440)</f>
        <v/>
      </c>
      <c r="F82" s="8" t="n"/>
      <c r="G82" s="8" t="n"/>
      <c r="H82" s="9" t="n"/>
      <c r="I82" s="8" t="n"/>
      <c r="J82" s="8" t="n"/>
      <c r="L82" s="8" t="n"/>
      <c r="M82" s="8" t="n"/>
      <c r="N82" s="8" t="n"/>
      <c r="O82" s="8" t="n"/>
      <c r="P82" s="8" t="n"/>
      <c r="Q82" s="8" t="n"/>
      <c r="R82" s="9" t="n"/>
    </row>
    <row r="83" ht="19.5" customHeight="1" s="26">
      <c r="A83" s="53">
        <f>IF($B$3="","",$B$3+3)</f>
        <v/>
      </c>
      <c r="B83" s="6" t="inlineStr">
        <is>
          <t>목</t>
        </is>
      </c>
      <c r="C83" s="54" t="n"/>
      <c r="D83" s="54" t="n"/>
      <c r="E83" s="5">
        <f>IF(OR(C83="",D83=""),"",(D83-C83)*1440)</f>
        <v/>
      </c>
      <c r="F83" s="8" t="n"/>
      <c r="G83" s="8" t="n"/>
      <c r="H83" s="9" t="n"/>
      <c r="I83" s="8" t="n"/>
      <c r="J83" s="8" t="n"/>
      <c r="L83" s="8" t="n"/>
      <c r="M83" s="8" t="n"/>
      <c r="N83" s="8" t="n"/>
      <c r="O83" s="8" t="n"/>
      <c r="P83" s="8" t="n"/>
      <c r="Q83" s="8" t="n"/>
      <c r="R83" s="9" t="n"/>
    </row>
    <row r="84" ht="19.5" customHeight="1" s="26">
      <c r="A84" s="53">
        <f>IF($B$3="","",$B$3+3)</f>
        <v/>
      </c>
      <c r="B84" s="6" t="inlineStr">
        <is>
          <t>목</t>
        </is>
      </c>
      <c r="C84" s="54" t="n"/>
      <c r="D84" s="54" t="n"/>
      <c r="E84" s="5">
        <f>IF(OR(C84="",D84=""),"",(D84-C84)*1440)</f>
        <v/>
      </c>
      <c r="F84" s="8" t="n"/>
      <c r="G84" s="8" t="n"/>
      <c r="H84" s="9" t="n"/>
      <c r="I84" s="8" t="n"/>
      <c r="J84" s="8" t="n"/>
      <c r="L84" s="8" t="n"/>
      <c r="M84" s="8" t="n"/>
      <c r="N84" s="8" t="n"/>
      <c r="O84" s="8" t="n"/>
      <c r="P84" s="8" t="n"/>
      <c r="Q84" s="8" t="n"/>
      <c r="R84" s="9" t="n"/>
    </row>
    <row r="85" ht="19.5" customHeight="1" s="26">
      <c r="A85" s="53">
        <f>IF($B$3="","",$B$3+3)</f>
        <v/>
      </c>
      <c r="B85" s="6" t="inlineStr">
        <is>
          <t>목(추가)</t>
        </is>
      </c>
      <c r="C85" s="54" t="n"/>
      <c r="D85" s="54" t="n"/>
      <c r="E85" s="5">
        <f>IF(OR(C85="",D85=""),"",(D85-C85)*1440)</f>
        <v/>
      </c>
      <c r="F85" s="8" t="n"/>
      <c r="G85" s="8" t="n"/>
      <c r="H85" s="9" t="n"/>
      <c r="I85" s="8" t="n"/>
      <c r="J85" s="8" t="n"/>
      <c r="L85" s="8" t="n"/>
      <c r="M85" s="8" t="n"/>
      <c r="N85" s="8" t="n"/>
      <c r="O85" s="8" t="n"/>
      <c r="P85" s="8" t="n"/>
      <c r="Q85" s="8" t="n"/>
      <c r="R85" s="9" t="n"/>
    </row>
    <row r="86" ht="19.5" customHeight="1" s="26">
      <c r="A86" s="53">
        <f>IF($B$3="","",$B$3+3)</f>
        <v/>
      </c>
      <c r="B86" s="6" t="inlineStr">
        <is>
          <t>목(추가)</t>
        </is>
      </c>
      <c r="C86" s="54" t="n"/>
      <c r="D86" s="54" t="n"/>
      <c r="E86" s="5">
        <f>IF(OR(C86="",D86=""),"",(D86-C86)*1440)</f>
        <v/>
      </c>
      <c r="F86" s="8" t="n"/>
      <c r="G86" s="8" t="n"/>
      <c r="H86" s="9" t="n"/>
      <c r="I86" s="8" t="n"/>
      <c r="J86" s="8" t="n"/>
      <c r="L86" s="8" t="n"/>
      <c r="M86" s="8" t="n"/>
      <c r="N86" s="8" t="n"/>
      <c r="O86" s="8" t="n"/>
      <c r="P86" s="8" t="n"/>
      <c r="Q86" s="8" t="n"/>
      <c r="R86" s="9" t="n"/>
    </row>
    <row r="87" ht="19.5" customHeight="1" s="26">
      <c r="A87" s="53">
        <f>IF($B$3="","",$B$3+4)</f>
        <v/>
      </c>
      <c r="B87" s="6" t="inlineStr">
        <is>
          <t>금</t>
        </is>
      </c>
      <c r="C87" s="54" t="n">
        <v>0.375</v>
      </c>
      <c r="D87" s="54" t="n">
        <v>0.4375</v>
      </c>
      <c r="E87" s="5">
        <f>IF(OR(C87="",D87=""),"",(D87-C87)*1440)</f>
        <v/>
      </c>
      <c r="F87" s="8" t="inlineStr">
        <is>
          <t>기타·행정</t>
        </is>
      </c>
      <c r="G87" s="8" t="inlineStr">
        <is>
          <t>ETC-04 이동·외근</t>
        </is>
      </c>
      <c r="H87" s="9" t="inlineStr">
        <is>
          <t>부산 대리점 방문 이동(사무실 → 경남지사)</t>
        </is>
      </c>
      <c r="I87" s="8" t="inlineStr">
        <is>
          <t>대리점(경남지사)</t>
        </is>
      </c>
      <c r="J87" s="8" t="n"/>
      <c r="L87" s="8" t="n"/>
      <c r="M87" s="8" t="n"/>
      <c r="N87" s="8" t="n"/>
      <c r="O87" s="8" t="inlineStr">
        <is>
          <t>분기/비정기</t>
        </is>
      </c>
      <c r="P87" s="8" t="inlineStr">
        <is>
          <t>정형(매뉴얼화 가능)</t>
        </is>
      </c>
      <c r="Q87" s="8" t="inlineStr">
        <is>
          <t>아마도 중복</t>
        </is>
      </c>
      <c r="R87" s="9" t="inlineStr">
        <is>
          <t>인근 대리점 방문 일정 묶어 이동시간 절감</t>
        </is>
      </c>
    </row>
    <row r="88" ht="19.5" customHeight="1" s="26">
      <c r="A88" s="53">
        <f>IF($B$3="","",$B$3+4)</f>
        <v/>
      </c>
      <c r="B88" s="6" t="inlineStr">
        <is>
          <t>금</t>
        </is>
      </c>
      <c r="C88" s="54" t="n">
        <v>0.4375</v>
      </c>
      <c r="D88" s="54" t="n">
        <v>0.4791666666666667</v>
      </c>
      <c r="E88" s="5">
        <f>IF(OR(C88="",D88=""),"",(D88-C88)*1440)</f>
        <v/>
      </c>
      <c r="F88" s="8" t="inlineStr">
        <is>
          <t>파트너·대리점관리</t>
        </is>
      </c>
      <c r="G88" s="8" t="inlineStr">
        <is>
          <t>PTR-01 대리점·파트너사 방문·미팅</t>
        </is>
      </c>
      <c r="H88" s="9" t="inlineStr">
        <is>
          <t>경남지사 방문 미팅 — 판매 현황·요청사항 청취</t>
        </is>
      </c>
      <c r="I88" s="8" t="inlineStr">
        <is>
          <t>경남지사</t>
        </is>
      </c>
      <c r="J88" s="8" t="n"/>
      <c r="L88" s="8" t="n"/>
      <c r="M88" s="8" t="inlineStr">
        <is>
          <t>경남지사</t>
        </is>
      </c>
      <c r="N88" s="8" t="inlineStr">
        <is>
          <t>방문 미팅 기록</t>
        </is>
      </c>
      <c r="O88" s="8" t="inlineStr">
        <is>
          <t>분기/비정기</t>
        </is>
      </c>
      <c r="P88" s="8" t="inlineStr">
        <is>
          <t>반정형</t>
        </is>
      </c>
      <c r="Q88" s="8" t="inlineStr">
        <is>
          <t>모름</t>
        </is>
      </c>
      <c r="R88" s="9" t="inlineStr">
        <is>
          <t>대리점 방문 결과를 공용 대리점 카드에 기록·공유</t>
        </is>
      </c>
    </row>
    <row r="89" ht="19.5" customHeight="1" s="26">
      <c r="A89" s="53">
        <f>IF($B$3="","",$B$3+4)</f>
        <v/>
      </c>
      <c r="B89" s="6" t="inlineStr">
        <is>
          <t>금</t>
        </is>
      </c>
      <c r="C89" s="54" t="n">
        <v>0.4791666666666667</v>
      </c>
      <c r="D89" s="54" t="n">
        <v>0.5</v>
      </c>
      <c r="E89" s="5">
        <f>IF(OR(C89="",D89=""),"",(D89-C89)*1440)</f>
        <v/>
      </c>
      <c r="F89" s="8" t="inlineStr">
        <is>
          <t>파트너·대리점관리</t>
        </is>
      </c>
      <c r="G89" s="8" t="inlineStr">
        <is>
          <t>PTR-02 대리점·파트너 인터뷰·VOC 수집</t>
        </is>
      </c>
      <c r="H89" s="9" t="inlineStr">
        <is>
          <t>경남지사 인터뷰 진행(질문지 기반 VOC 수집)</t>
        </is>
      </c>
      <c r="I89" s="8" t="inlineStr">
        <is>
          <t>경남지사</t>
        </is>
      </c>
      <c r="J89" s="8" t="n"/>
      <c r="L89" s="8" t="n"/>
      <c r="M89" s="8" t="inlineStr">
        <is>
          <t>경남지사</t>
        </is>
      </c>
      <c r="N89" s="8" t="inlineStr">
        <is>
          <t>인터뷰 기록</t>
        </is>
      </c>
      <c r="O89" s="8" t="inlineStr">
        <is>
          <t>분기/비정기</t>
        </is>
      </c>
      <c r="P89" s="8" t="inlineStr">
        <is>
          <t>반정형</t>
        </is>
      </c>
      <c r="Q89" s="8" t="inlineStr">
        <is>
          <t>모름</t>
        </is>
      </c>
      <c r="R89" s="9" t="inlineStr">
        <is>
          <t>인터뷰 VOC를 상품·마케팅 기획 입력값으로 자동 연결</t>
        </is>
      </c>
    </row>
    <row r="90" ht="19.5" customHeight="1" s="26">
      <c r="A90" s="53">
        <f>IF($B$3="","",$B$3+4)</f>
        <v/>
      </c>
      <c r="B90" s="6" t="inlineStr">
        <is>
          <t>금</t>
        </is>
      </c>
      <c r="C90" s="54" t="n">
        <v>0.5</v>
      </c>
      <c r="D90" s="54" t="n">
        <v>0.5416666666666666</v>
      </c>
      <c r="E90" s="5">
        <f>IF(OR(C90="",D90=""),"",(D90-C90)*1440)</f>
        <v/>
      </c>
      <c r="F90" s="8" t="inlineStr">
        <is>
          <t>기타·행정</t>
        </is>
      </c>
      <c r="G90" s="8" t="inlineStr">
        <is>
          <t>ETC-05 휴게·점심</t>
        </is>
      </c>
      <c r="H90" s="9" t="inlineStr">
        <is>
          <t>점심 및 휴게</t>
        </is>
      </c>
      <c r="I90" s="8" t="n"/>
      <c r="J90" s="8" t="n"/>
      <c r="L90" s="8" t="n"/>
      <c r="M90" s="8" t="n"/>
      <c r="N90" s="8" t="n"/>
      <c r="O90" s="8" t="inlineStr">
        <is>
          <t>매일</t>
        </is>
      </c>
      <c r="P90" s="8" t="inlineStr">
        <is>
          <t>정형(매뉴얼화 가능)</t>
        </is>
      </c>
      <c r="Q90" s="8" t="inlineStr">
        <is>
          <t>예 - 확실히 중복</t>
        </is>
      </c>
      <c r="R90" s="9" t="n"/>
    </row>
    <row r="91" ht="19.5" customHeight="1" s="26">
      <c r="A91" s="53">
        <f>IF($B$3="","",$B$3+4)</f>
        <v/>
      </c>
      <c r="B91" s="6" t="inlineStr">
        <is>
          <t>금</t>
        </is>
      </c>
      <c r="C91" s="54" t="n">
        <v>0.5416666666666666</v>
      </c>
      <c r="D91" s="54" t="n">
        <v>0.5625</v>
      </c>
      <c r="E91" s="5">
        <f>IF(OR(C91="",D91=""),"",(D91-C91)*1440)</f>
        <v/>
      </c>
      <c r="F91" s="8" t="inlineStr">
        <is>
          <t>기타·행정</t>
        </is>
      </c>
      <c r="G91" s="8" t="inlineStr">
        <is>
          <t>ETC-04 이동·외근</t>
        </is>
      </c>
      <c r="H91" s="9" t="inlineStr">
        <is>
          <t>경남지사 → 가나랜드 이동</t>
        </is>
      </c>
      <c r="I91" s="8" t="inlineStr">
        <is>
          <t>대리점(가나랜드)</t>
        </is>
      </c>
      <c r="J91" s="8" t="n"/>
      <c r="L91" s="8" t="n"/>
      <c r="M91" s="8" t="n"/>
      <c r="N91" s="8" t="n"/>
      <c r="O91" s="8" t="inlineStr">
        <is>
          <t>분기/비정기</t>
        </is>
      </c>
      <c r="P91" s="8" t="inlineStr">
        <is>
          <t>정형(매뉴얼화 가능)</t>
        </is>
      </c>
      <c r="Q91" s="8" t="inlineStr">
        <is>
          <t>아마도 중복</t>
        </is>
      </c>
      <c r="R91" s="9" t="inlineStr">
        <is>
          <t>인근 대리점 방문 일정 묶어 이동시간 절감</t>
        </is>
      </c>
    </row>
    <row r="92" ht="19.5" customHeight="1" s="26">
      <c r="A92" s="53">
        <f>IF($B$3="","",$B$3+4)</f>
        <v/>
      </c>
      <c r="B92" s="6" t="inlineStr">
        <is>
          <t>금</t>
        </is>
      </c>
      <c r="C92" s="54" t="n">
        <v>0.5625</v>
      </c>
      <c r="D92" s="54" t="n">
        <v>0.6041666666666666</v>
      </c>
      <c r="E92" s="5">
        <f>IF(OR(C92="",D92=""),"",(D92-C92)*1440)</f>
        <v/>
      </c>
      <c r="F92" s="8" t="inlineStr">
        <is>
          <t>파트너·대리점관리</t>
        </is>
      </c>
      <c r="G92" s="8" t="inlineStr">
        <is>
          <t>PTR-01 대리점·파트너사 방문·미팅</t>
        </is>
      </c>
      <c r="H92" s="9" t="inlineStr">
        <is>
          <t>가나랜드 방문 미팅 — 판매 현황·요청사항 청취</t>
        </is>
      </c>
      <c r="I92" s="8" t="inlineStr">
        <is>
          <t>가나랜드</t>
        </is>
      </c>
      <c r="J92" s="8" t="n"/>
      <c r="L92" s="8" t="n"/>
      <c r="M92" s="8" t="inlineStr">
        <is>
          <t>가나랜드</t>
        </is>
      </c>
      <c r="N92" s="8" t="inlineStr">
        <is>
          <t>방문 미팅 기록</t>
        </is>
      </c>
      <c r="O92" s="8" t="inlineStr">
        <is>
          <t>분기/비정기</t>
        </is>
      </c>
      <c r="P92" s="8" t="inlineStr">
        <is>
          <t>반정형</t>
        </is>
      </c>
      <c r="Q92" s="8" t="inlineStr">
        <is>
          <t>모름</t>
        </is>
      </c>
      <c r="R92" s="9" t="inlineStr">
        <is>
          <t>대리점 방문 결과를 공용 대리점 카드에 기록·공유</t>
        </is>
      </c>
    </row>
    <row r="93" ht="19.5" customHeight="1" s="26">
      <c r="A93" s="53">
        <f>IF($B$3="","",$B$3+4)</f>
        <v/>
      </c>
      <c r="B93" s="6" t="inlineStr">
        <is>
          <t>금</t>
        </is>
      </c>
      <c r="C93" s="54" t="n">
        <v>0.6041666666666666</v>
      </c>
      <c r="D93" s="54" t="n">
        <v>0.6666666666666666</v>
      </c>
      <c r="E93" s="5">
        <f>IF(OR(C93="",D93=""),"",(D93-C93)*1440)</f>
        <v/>
      </c>
      <c r="F93" s="8" t="inlineStr">
        <is>
          <t>파트너·대리점관리</t>
        </is>
      </c>
      <c r="G93" s="8" t="inlineStr">
        <is>
          <t>PTR-02 대리점·파트너 인터뷰·VOC 수집</t>
        </is>
      </c>
      <c r="H93" s="9" t="inlineStr">
        <is>
          <t>가나랜드 인터뷰 진행 및 현장 촬영(질문지 기반 VOC 수집)</t>
        </is>
      </c>
      <c r="I93" s="8" t="inlineStr">
        <is>
          <t>가나랜드</t>
        </is>
      </c>
      <c r="J93" s="8" t="n"/>
      <c r="L93" s="8" t="n"/>
      <c r="M93" s="8" t="inlineStr">
        <is>
          <t>가나랜드</t>
        </is>
      </c>
      <c r="N93" s="8" t="inlineStr">
        <is>
          <t>인터뷰 기록·현장 촬영물</t>
        </is>
      </c>
      <c r="O93" s="8" t="inlineStr">
        <is>
          <t>분기/비정기</t>
        </is>
      </c>
      <c r="P93" s="8" t="inlineStr">
        <is>
          <t>반정형</t>
        </is>
      </c>
      <c r="Q93" s="8" t="inlineStr">
        <is>
          <t>모름</t>
        </is>
      </c>
      <c r="R93" s="9" t="inlineStr">
        <is>
          <t>인터뷰 VOC를 상품·마케팅 기획 입력값으로 자동 연결</t>
        </is>
      </c>
    </row>
    <row r="94" ht="19.5" customHeight="1" s="26">
      <c r="A94" s="53">
        <f>IF($B$3="","",$B$3+4)</f>
        <v/>
      </c>
      <c r="B94" s="6" t="inlineStr">
        <is>
          <t>금</t>
        </is>
      </c>
      <c r="C94" s="54" t="n">
        <v>0.6666666666666666</v>
      </c>
      <c r="D94" s="54" t="n">
        <v>0.75</v>
      </c>
      <c r="E94" s="5">
        <f>IF(OR(C94="",D94=""),"",(D94-C94)*1440)</f>
        <v/>
      </c>
      <c r="F94" s="8" t="inlineStr">
        <is>
          <t>기타·행정</t>
        </is>
      </c>
      <c r="G94" s="8" t="inlineStr">
        <is>
          <t>ETC-04 이동·외근</t>
        </is>
      </c>
      <c r="H94" s="9" t="inlineStr">
        <is>
          <t>부산 → 사무실 복귀 이동</t>
        </is>
      </c>
      <c r="I94" s="8" t="n"/>
      <c r="J94" s="8" t="n"/>
      <c r="L94" s="8" t="n"/>
      <c r="M94" s="8" t="n"/>
      <c r="N94" s="8" t="n"/>
      <c r="O94" s="8" t="inlineStr">
        <is>
          <t>분기/비정기</t>
        </is>
      </c>
      <c r="P94" s="8" t="inlineStr">
        <is>
          <t>정형(매뉴얼화 가능)</t>
        </is>
      </c>
      <c r="Q94" s="8" t="inlineStr">
        <is>
          <t>아마도 중복</t>
        </is>
      </c>
      <c r="R94" s="9" t="inlineStr">
        <is>
          <t>인근 대리점 방문 일정 묶어 이동시간 절감</t>
        </is>
      </c>
    </row>
    <row r="95" ht="19.5" customHeight="1" s="26">
      <c r="A95" s="53">
        <f>IF($B$3="","",$B$3+4)</f>
        <v/>
      </c>
      <c r="B95" s="6" t="inlineStr">
        <is>
          <t>금</t>
        </is>
      </c>
      <c r="C95" s="54" t="n"/>
      <c r="D95" s="54" t="n"/>
      <c r="E95" s="5">
        <f>IF(OR(C95="",D95=""),"",(D95-C95)*1440)</f>
        <v/>
      </c>
      <c r="F95" s="8" t="n"/>
      <c r="G95" s="8" t="n"/>
      <c r="H95" s="9" t="n"/>
      <c r="I95" s="8" t="n"/>
      <c r="J95" s="8" t="n"/>
      <c r="L95" s="8" t="n"/>
      <c r="M95" s="8" t="n"/>
      <c r="N95" s="8" t="n"/>
      <c r="O95" s="8" t="n"/>
      <c r="P95" s="8" t="n"/>
      <c r="Q95" s="8" t="n"/>
      <c r="R95" s="9" t="n"/>
    </row>
    <row r="96" ht="19.5" customHeight="1" s="26">
      <c r="A96" s="53">
        <f>IF($B$3="","",$B$3+4)</f>
        <v/>
      </c>
      <c r="B96" s="6" t="inlineStr">
        <is>
          <t>금</t>
        </is>
      </c>
      <c r="C96" s="54" t="n"/>
      <c r="D96" s="54" t="n"/>
      <c r="E96" s="5">
        <f>IF(OR(C96="",D96=""),"",(D96-C96)*1440)</f>
        <v/>
      </c>
      <c r="F96" s="8" t="n"/>
      <c r="G96" s="8" t="n"/>
      <c r="H96" s="9" t="n"/>
      <c r="I96" s="8" t="n"/>
      <c r="J96" s="8" t="n"/>
      <c r="L96" s="8" t="n"/>
      <c r="M96" s="8" t="n"/>
      <c r="N96" s="8" t="n"/>
      <c r="O96" s="8" t="n"/>
      <c r="P96" s="8" t="n"/>
      <c r="Q96" s="8" t="n"/>
      <c r="R96" s="9" t="n"/>
    </row>
    <row r="97" ht="19.5" customHeight="1" s="26">
      <c r="A97" s="53">
        <f>IF($B$3="","",$B$3+4)</f>
        <v/>
      </c>
      <c r="B97" s="6" t="inlineStr">
        <is>
          <t>금</t>
        </is>
      </c>
      <c r="C97" s="54" t="n"/>
      <c r="D97" s="54" t="n"/>
      <c r="E97" s="5">
        <f>IF(OR(C97="",D97=""),"",(D97-C97)*1440)</f>
        <v/>
      </c>
      <c r="F97" s="8" t="n"/>
      <c r="G97" s="8" t="n"/>
      <c r="H97" s="9" t="n"/>
      <c r="I97" s="8" t="n"/>
      <c r="J97" s="8" t="n"/>
      <c r="L97" s="8" t="n"/>
      <c r="M97" s="8" t="n"/>
      <c r="N97" s="8" t="n"/>
      <c r="O97" s="8" t="n"/>
      <c r="P97" s="8" t="n"/>
      <c r="Q97" s="8" t="n"/>
      <c r="R97" s="9" t="n"/>
    </row>
    <row r="98" ht="19.5" customHeight="1" s="26">
      <c r="A98" s="53">
        <f>IF($B$3="","",$B$3+4)</f>
        <v/>
      </c>
      <c r="B98" s="6" t="inlineStr">
        <is>
          <t>금</t>
        </is>
      </c>
      <c r="C98" s="54" t="n"/>
      <c r="D98" s="54" t="n"/>
      <c r="E98" s="5">
        <f>IF(OR(C98="",D98=""),"",(D98-C98)*1440)</f>
        <v/>
      </c>
      <c r="F98" s="8" t="n"/>
      <c r="G98" s="8" t="n"/>
      <c r="H98" s="9" t="n"/>
      <c r="I98" s="8" t="n"/>
      <c r="J98" s="8" t="n"/>
      <c r="L98" s="8" t="n"/>
      <c r="M98" s="8" t="n"/>
      <c r="N98" s="8" t="n"/>
      <c r="O98" s="8" t="n"/>
      <c r="P98" s="8" t="n"/>
      <c r="Q98" s="8" t="n"/>
      <c r="R98" s="9" t="n"/>
    </row>
    <row r="99" ht="19.5" customHeight="1" s="26">
      <c r="A99" s="53">
        <f>IF($B$3="","",$B$3+4)</f>
        <v/>
      </c>
      <c r="B99" s="6" t="inlineStr">
        <is>
          <t>금</t>
        </is>
      </c>
      <c r="C99" s="54" t="n"/>
      <c r="D99" s="54" t="n"/>
      <c r="E99" s="5">
        <f>IF(OR(C99="",D99=""),"",(D99-C99)*1440)</f>
        <v/>
      </c>
      <c r="F99" s="8" t="n"/>
      <c r="G99" s="8" t="n"/>
      <c r="H99" s="9" t="n"/>
      <c r="I99" s="8" t="n"/>
      <c r="J99" s="8" t="n"/>
      <c r="L99" s="8" t="n"/>
      <c r="M99" s="8" t="n"/>
      <c r="N99" s="8" t="n"/>
      <c r="O99" s="8" t="n"/>
      <c r="P99" s="8" t="n"/>
      <c r="Q99" s="8" t="n"/>
      <c r="R99" s="9" t="n"/>
    </row>
    <row r="100" ht="19.5" customHeight="1" s="26">
      <c r="A100" s="53">
        <f>IF($B$3="","",$B$3+4)</f>
        <v/>
      </c>
      <c r="B100" s="6" t="inlineStr">
        <is>
          <t>금</t>
        </is>
      </c>
      <c r="C100" s="54" t="n"/>
      <c r="D100" s="54" t="n"/>
      <c r="E100" s="5">
        <f>IF(OR(C100="",D100=""),"",(D100-C100)*1440)</f>
        <v/>
      </c>
      <c r="F100" s="8" t="n"/>
      <c r="G100" s="8" t="n"/>
      <c r="H100" s="9" t="n"/>
      <c r="I100" s="8" t="n"/>
      <c r="J100" s="8" t="n"/>
      <c r="L100" s="8" t="n"/>
      <c r="M100" s="8" t="n"/>
      <c r="N100" s="8" t="n"/>
      <c r="O100" s="8" t="n"/>
      <c r="P100" s="8" t="n"/>
      <c r="Q100" s="8" t="n"/>
      <c r="R100" s="9" t="n"/>
    </row>
    <row r="101" ht="19.5" customHeight="1" s="26">
      <c r="A101" s="53">
        <f>IF($B$3="","",$B$3+4)</f>
        <v/>
      </c>
      <c r="B101" s="6" t="inlineStr">
        <is>
          <t>금</t>
        </is>
      </c>
      <c r="C101" s="54" t="n"/>
      <c r="D101" s="54" t="n"/>
      <c r="E101" s="5">
        <f>IF(OR(C101="",D101=""),"",(D101-C101)*1440)</f>
        <v/>
      </c>
      <c r="F101" s="8" t="n"/>
      <c r="G101" s="8" t="n"/>
      <c r="H101" s="9" t="n"/>
      <c r="I101" s="8" t="n"/>
      <c r="J101" s="8" t="n"/>
      <c r="L101" s="8" t="n"/>
      <c r="M101" s="8" t="n"/>
      <c r="N101" s="8" t="n"/>
      <c r="O101" s="8" t="n"/>
      <c r="P101" s="8" t="n"/>
      <c r="Q101" s="8" t="n"/>
      <c r="R101" s="9" t="n"/>
    </row>
    <row r="102" ht="19.5" customHeight="1" s="26">
      <c r="A102" s="53">
        <f>IF($B$3="","",$B$3+4)</f>
        <v/>
      </c>
      <c r="B102" s="6" t="inlineStr">
        <is>
          <t>금</t>
        </is>
      </c>
      <c r="C102" s="54" t="n"/>
      <c r="D102" s="54" t="n"/>
      <c r="E102" s="5">
        <f>IF(OR(C102="",D102=""),"",(D102-C102)*1440)</f>
        <v/>
      </c>
      <c r="F102" s="8" t="n"/>
      <c r="G102" s="8" t="n"/>
      <c r="H102" s="9" t="n"/>
      <c r="I102" s="8" t="n"/>
      <c r="J102" s="8" t="n"/>
      <c r="L102" s="8" t="n"/>
      <c r="M102" s="8" t="n"/>
      <c r="N102" s="8" t="n"/>
      <c r="O102" s="8" t="n"/>
      <c r="P102" s="8" t="n"/>
      <c r="Q102" s="8" t="n"/>
      <c r="R102" s="9" t="n"/>
    </row>
    <row r="103" ht="19.5" customHeight="1" s="26">
      <c r="A103" s="53">
        <f>IF($B$3="","",$B$3+4)</f>
        <v/>
      </c>
      <c r="B103" s="6" t="inlineStr">
        <is>
          <t>금</t>
        </is>
      </c>
      <c r="C103" s="54" t="n"/>
      <c r="D103" s="54" t="n"/>
      <c r="E103" s="5">
        <f>IF(OR(C103="",D103=""),"",(D103-C103)*1440)</f>
        <v/>
      </c>
      <c r="F103" s="8" t="n"/>
      <c r="G103" s="8" t="n"/>
      <c r="H103" s="9" t="n"/>
      <c r="I103" s="8" t="n"/>
      <c r="J103" s="8" t="n"/>
      <c r="L103" s="8" t="n"/>
      <c r="M103" s="8" t="n"/>
      <c r="N103" s="8" t="n"/>
      <c r="O103" s="8" t="n"/>
      <c r="P103" s="8" t="n"/>
      <c r="Q103" s="8" t="n"/>
      <c r="R103" s="9" t="n"/>
    </row>
    <row r="104" ht="19.5" customHeight="1" s="26">
      <c r="A104" s="53">
        <f>IF($B$3="","",$B$3+4)</f>
        <v/>
      </c>
      <c r="B104" s="6" t="inlineStr">
        <is>
          <t>금</t>
        </is>
      </c>
      <c r="C104" s="54" t="n"/>
      <c r="D104" s="54" t="n"/>
      <c r="E104" s="5">
        <f>IF(OR(C104="",D104=""),"",(D104-C104)*1440)</f>
        <v/>
      </c>
      <c r="F104" s="8" t="n"/>
      <c r="G104" s="8" t="n"/>
      <c r="H104" s="9" t="n"/>
      <c r="I104" s="8" t="n"/>
      <c r="J104" s="8" t="n"/>
      <c r="L104" s="8" t="n"/>
      <c r="M104" s="8" t="n"/>
      <c r="N104" s="8" t="n"/>
      <c r="O104" s="8" t="n"/>
      <c r="P104" s="8" t="n"/>
      <c r="Q104" s="8" t="n"/>
      <c r="R104" s="9" t="n"/>
    </row>
    <row r="105" ht="19.5" customHeight="1" s="26">
      <c r="A105" s="53">
        <f>IF($B$3="","",$B$3+4)</f>
        <v/>
      </c>
      <c r="B105" s="6" t="inlineStr">
        <is>
          <t>금(추가)</t>
        </is>
      </c>
      <c r="C105" s="54" t="n"/>
      <c r="D105" s="54" t="n"/>
      <c r="E105" s="5">
        <f>IF(OR(C105="",D105=""),"",(D105-C105)*1440)</f>
        <v/>
      </c>
      <c r="F105" s="8" t="n"/>
      <c r="G105" s="8" t="n"/>
      <c r="H105" s="9" t="n"/>
      <c r="I105" s="8" t="n"/>
      <c r="J105" s="8" t="n"/>
      <c r="L105" s="8" t="n"/>
      <c r="M105" s="8" t="n"/>
      <c r="N105" s="8" t="n"/>
      <c r="O105" s="8" t="n"/>
      <c r="P105" s="8" t="n"/>
      <c r="Q105" s="8" t="n"/>
      <c r="R105" s="9" t="n"/>
    </row>
    <row r="106" ht="19.5" customHeight="1" s="26">
      <c r="A106" s="53">
        <f>IF($B$3="","",$B$3+4)</f>
        <v/>
      </c>
      <c r="B106" s="6" t="inlineStr">
        <is>
          <t>금(추가)</t>
        </is>
      </c>
      <c r="C106" s="54" t="n"/>
      <c r="D106" s="54" t="n"/>
      <c r="E106" s="5">
        <f>IF(OR(C106="",D106=""),"",(D106-C106)*1440)</f>
        <v/>
      </c>
      <c r="F106" s="8" t="n"/>
      <c r="G106" s="8" t="n"/>
      <c r="H106" s="9" t="n"/>
      <c r="I106" s="8" t="n"/>
      <c r="J106" s="8" t="n"/>
      <c r="L106" s="8" t="n"/>
      <c r="M106" s="8" t="n"/>
      <c r="N106" s="8" t="n"/>
      <c r="O106" s="8" t="n"/>
      <c r="P106" s="8" t="n"/>
      <c r="Q106" s="8" t="n"/>
      <c r="R106" s="9" t="n"/>
    </row>
    <row r="108">
      <c r="A108" s="32" t="inlineStr">
        <is>
          <t>주간 합계</t>
        </is>
      </c>
      <c r="E108" s="10">
        <f>SUM(E7:E106)</f>
        <v/>
      </c>
      <c r="F108" s="29">
        <f>"총 기록시간: "&amp;TEXT(E108/60,"0.0")&amp;"시간   |   휴게·점심 제외 실근무 기록: "&amp;TEXT((E108-SUMIF(G7:G106,"ETC-05*",E7:E106))/60,"0.0")&amp;"시간"</f>
        <v/>
      </c>
    </row>
  </sheetData>
  <autoFilter ref="A6:R106"/>
  <mergeCells count="9">
    <mergeCell ref="D2:E2"/>
    <mergeCell ref="F108:R108"/>
    <mergeCell ref="G2:H2"/>
    <mergeCell ref="A5:R5"/>
    <mergeCell ref="A1:R1"/>
    <mergeCell ref="D3:E3"/>
    <mergeCell ref="G3:H3"/>
    <mergeCell ref="A108:D108"/>
    <mergeCell ref="A4:R4"/>
  </mergeCells>
  <hyperlinks>
    <hyperlink xmlns:r="http://schemas.openxmlformats.org/officeDocument/2006/relationships" ref="K7" r:id="rId1"/>
    <hyperlink xmlns:r="http://schemas.openxmlformats.org/officeDocument/2006/relationships" ref="K10" r:id="rId2"/>
    <hyperlink xmlns:r="http://schemas.openxmlformats.org/officeDocument/2006/relationships" ref="K11" r:id="rId3"/>
    <hyperlink xmlns:r="http://schemas.openxmlformats.org/officeDocument/2006/relationships" ref="K13" r:id="rId4"/>
    <hyperlink xmlns:r="http://schemas.openxmlformats.org/officeDocument/2006/relationships" ref="K14" display="https://moyeoradeal-sourcing.pages.dev/sourcingapp" r:id="rId5"/>
    <hyperlink xmlns:r="http://schemas.openxmlformats.org/officeDocument/2006/relationships" ref="K15" display="https://moyeoradeal-sourcing.pages.dev/sourcingapp" r:id="rId6"/>
    <hyperlink xmlns:r="http://schemas.openxmlformats.org/officeDocument/2006/relationships" ref="K17" r:id="rId7"/>
    <hyperlink xmlns:r="http://schemas.openxmlformats.org/officeDocument/2006/relationships" ref="K20" r:id="rId8"/>
    <hyperlink xmlns:r="http://schemas.openxmlformats.org/officeDocument/2006/relationships" ref="K27" r:id="rId9"/>
    <hyperlink xmlns:r="http://schemas.openxmlformats.org/officeDocument/2006/relationships" ref="K28" r:id="rId10"/>
    <hyperlink xmlns:r="http://schemas.openxmlformats.org/officeDocument/2006/relationships" ref="K29" r:id="rId11"/>
    <hyperlink xmlns:r="http://schemas.openxmlformats.org/officeDocument/2006/relationships" ref="K31" display="https://moyeoradeal-sourcing.pages.dev/sourcingapp" r:id="rId12"/>
    <hyperlink xmlns:r="http://schemas.openxmlformats.org/officeDocument/2006/relationships" ref="K33" display="https://pour-construction-form.pages.dev/pourstore-pricing-dashboard" r:id="rId13"/>
    <hyperlink xmlns:r="http://schemas.openxmlformats.org/officeDocument/2006/relationships" ref="K47" r:id="rId14"/>
    <hyperlink xmlns:r="http://schemas.openxmlformats.org/officeDocument/2006/relationships" ref="K48" r:id="rId15"/>
    <hyperlink xmlns:r="http://schemas.openxmlformats.org/officeDocument/2006/relationships" ref="K49" r:id="rId16"/>
    <hyperlink xmlns:r="http://schemas.openxmlformats.org/officeDocument/2006/relationships" ref="K52" r:id="rId17"/>
    <hyperlink xmlns:r="http://schemas.openxmlformats.org/officeDocument/2006/relationships" ref="K53" r:id="rId18"/>
    <hyperlink xmlns:r="http://schemas.openxmlformats.org/officeDocument/2006/relationships" ref="K54" r:id="rId19"/>
    <hyperlink xmlns:r="http://schemas.openxmlformats.org/officeDocument/2006/relationships" ref="K67" r:id="rId20"/>
    <hyperlink xmlns:r="http://schemas.openxmlformats.org/officeDocument/2006/relationships" ref="K70" r:id="rId21"/>
    <hyperlink xmlns:r="http://schemas.openxmlformats.org/officeDocument/2006/relationships" ref="K72" r:id="rId22"/>
  </hyperlinks>
  <pageMargins left="0.75" right="0.75" top="1" bottom="1" header="0.511811023622047" footer="0.511811023622047"/>
  <pageSetup orientation="portrait" paperSize="9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errorTitle="드롭다운 선택 필요" error="목록에서 선택해 주세요. 자유 입력 시 중복분석에 집계되지 않습니다.">
          <x14:formula1>
            <xm:f>'06_분류코드'!$D$4:$D$6</xm:f>
          </x14:formula1>
          <x14:formula2>
            <xm:f>0</xm:f>
          </x14:formula2>
          <xm:sqref>B2</xm:sqref>
        </x14:dataValidation>
        <x14:dataValidation type="list" allowBlank="1" errorTitle="드롭다운 선택 필요" error="목록에서 선택해 주세요. 자유 입력 시 중복분석에 집계되지 않습니다.">
          <x14:formula1>
            <xm:f>'06_분류코드'!$L$4:$L$14</xm:f>
          </x14:formula1>
          <x14:formula2>
            <xm:f>0</xm:f>
          </x14:formula2>
          <xm:sqref>F7:F106</xm:sqref>
        </x14:dataValidation>
        <x14:dataValidation type="list" allowBlank="1" errorTitle="드롭다운 선택 필요" error="목록에서 선택해 주세요. 자유 입력 시 중복분석에 집계되지 않습니다.">
          <x14:formula1>
            <xm:f>'06_분류코드'!$B$4:$B$64</xm:f>
          </x14:formula1>
          <x14:formula2>
            <xm:f>0</xm:f>
          </x14:formula2>
          <xm:sqref>G7:G106</xm:sqref>
        </x14:dataValidation>
        <x14:dataValidation type="list" allowBlank="1" errorTitle="드롭다운 선택 필요" error="목록에서 선택해 주세요. 자유 입력 시 중복분석에 집계되지 않습니다.">
          <x14:formula1>
            <xm:f>'06_분류코드'!$F$4:$F$10</xm:f>
          </x14:formula1>
          <x14:formula2>
            <xm:f>0</xm:f>
          </x14:formula2>
          <xm:sqref>O7:O106</xm:sqref>
        </x14:dataValidation>
        <x14:dataValidation type="list" allowBlank="1" errorTitle="드롭다운 선택 필요" error="목록에서 선택해 주세요. 자유 입력 시 중복분석에 집계되지 않습니다.">
          <x14:formula1>
            <xm:f>'06_분류코드'!$H$4:$H$6</xm:f>
          </x14:formula1>
          <x14:formula2>
            <xm:f>0</xm:f>
          </x14:formula2>
          <xm:sqref>P7:P106</xm:sqref>
        </x14:dataValidation>
        <x14:dataValidation type="list" allowBlank="1" errorTitle="드롭다운 선택 필요" error="목록에서 선택해 주세요. 자유 입력 시 중복분석에 집계되지 않습니다.">
          <x14:formula1>
            <xm:f>'06_분류코드'!$J$4:$J$7</xm:f>
          </x14:formula1>
          <x14:formula2>
            <xm:f>0</xm:f>
          </x14:formula2>
          <xm:sqref>Q7:Q106</xm:sqref>
        </x14:dataValidation>
      </x14:dataValidations>
    </ext>
  </extLst>
</worksheet>
</file>

<file path=xl/worksheets/sheet4.xml><?xml version="1.0" encoding="utf-8"?>
<worksheet xmlns="http://schemas.openxmlformats.org/spreadsheetml/2006/main">
  <sheetPr>
    <tabColor rgb="FF2E75B6"/>
    <outlinePr summaryBelow="1" summaryRight="1"/>
    <pageSetUpPr/>
  </sheetPr>
  <dimension ref="A1:U1002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3" sqref="C13"/>
    </sheetView>
  </sheetViews>
  <sheetFormatPr baseColWidth="8" defaultColWidth="8.7109375" defaultRowHeight="15"/>
  <cols>
    <col width="14" customWidth="1" style="26" min="1" max="1"/>
    <col width="10" customWidth="1" style="26" min="2" max="2"/>
    <col width="14" customWidth="1" style="26" min="3" max="3"/>
    <col width="12" customWidth="1" style="26" min="4" max="4"/>
    <col width="6" customWidth="1" style="26" min="5" max="5"/>
    <col width="7" customWidth="1" style="26" min="6" max="7"/>
    <col width="9" customWidth="1" style="26" min="8" max="8"/>
    <col width="16" customWidth="1" style="26" min="9" max="9"/>
    <col width="32" customWidth="1" style="26" min="10" max="10"/>
    <col width="42" customWidth="1" style="26" min="11" max="11"/>
    <col width="20" customWidth="1" style="26" min="12" max="12"/>
    <col width="16" customWidth="1" style="26" min="13" max="14"/>
    <col width="16" customWidth="1" style="26" min="14" max="14"/>
    <col width="18" customWidth="1" style="26" min="15" max="15"/>
    <col width="16" customWidth="1" style="26" min="16" max="16"/>
    <col width="12" customWidth="1" style="26" min="17" max="17"/>
    <col width="18" customWidth="1" style="26" min="18" max="18"/>
    <col width="16" customWidth="1" style="26" min="19" max="19"/>
    <col width="26" customWidth="1" style="26" min="20" max="20"/>
  </cols>
  <sheetData>
    <row r="1" ht="24" customHeight="1" s="26">
      <c r="A1" s="36" t="inlineStr">
        <is>
          <t>전사 취합 데이터 — 3개 팀 전원의 02시트 작성분을 여기에 '값'으로 붙여넣기 (3행부터)</t>
        </is>
      </c>
    </row>
    <row r="2" ht="30" customHeight="1" s="26">
      <c r="A2" s="4" t="inlineStr">
        <is>
          <t>소속팀</t>
        </is>
      </c>
      <c r="B2" s="4" t="inlineStr">
        <is>
          <t>이름</t>
        </is>
      </c>
      <c r="C2" s="4" t="inlineStr">
        <is>
          <t>직위/직무</t>
        </is>
      </c>
      <c r="D2" s="4" t="inlineStr">
        <is>
          <t>일자</t>
        </is>
      </c>
      <c r="E2" s="4" t="inlineStr">
        <is>
          <t>요일</t>
        </is>
      </c>
      <c r="F2" s="4" t="inlineStr">
        <is>
          <t>시작</t>
        </is>
      </c>
      <c r="G2" s="4" t="inlineStr">
        <is>
          <t>종료</t>
        </is>
      </c>
      <c r="H2" s="4" t="inlineStr">
        <is>
          <t>소요(분)</t>
        </is>
      </c>
      <c r="I2" s="4" t="inlineStr">
        <is>
          <t>업무 대분류</t>
        </is>
      </c>
      <c r="J2" s="4" t="inlineStr">
        <is>
          <t>업무 중분류</t>
        </is>
      </c>
      <c r="K2" s="4" t="inlineStr">
        <is>
          <t>업무 내용</t>
        </is>
      </c>
      <c r="L2" s="4" t="inlineStr">
        <is>
          <t>대상 브랜드/상품/채널</t>
        </is>
      </c>
      <c r="M2" s="4" t="inlineStr">
        <is>
          <t>사용 시스템·툴</t>
        </is>
      </c>
      <c r="N2" s="4" t="inlineStr">
        <is>
          <t>사용 시스템·툴 링크</t>
        </is>
      </c>
      <c r="O2" s="4" t="inlineStr">
        <is>
          <t>협업 대상(사내)</t>
        </is>
      </c>
      <c r="P2" s="4" t="inlineStr">
        <is>
          <t>협업 대상(사외)</t>
        </is>
      </c>
      <c r="Q2" s="4" t="inlineStr">
        <is>
          <t>산출물</t>
        </is>
      </c>
      <c r="R2" s="4" t="inlineStr">
        <is>
          <t>반복주기</t>
        </is>
      </c>
      <c r="S2" s="4" t="inlineStr">
        <is>
          <t>업무 성격</t>
        </is>
      </c>
      <c r="T2" s="4" t="inlineStr">
        <is>
          <t>타팀 중복예상</t>
        </is>
      </c>
      <c r="U2" s="4" t="inlineStr">
        <is>
          <t>개선·자동화 아이디어</t>
        </is>
      </c>
    </row>
    <row r="3">
      <c r="A3" s="17" t="inlineStr">
        <is>
          <t>브랜드커머스</t>
        </is>
      </c>
      <c r="B3" s="17" t="inlineStr">
        <is>
          <t>김송희</t>
        </is>
      </c>
      <c r="C3" s="17" t="inlineStr">
        <is>
          <t>브랜드커머스, 모여라딜 리드</t>
        </is>
      </c>
      <c r="D3" s="55" t="n">
        <v>46244</v>
      </c>
      <c r="E3" s="17" t="inlineStr">
        <is>
          <t>월</t>
        </is>
      </c>
      <c r="F3" s="56" t="n">
        <v>0.375</v>
      </c>
      <c r="G3" s="56" t="n">
        <v>0.3958333333333333</v>
      </c>
      <c r="H3" s="18">
        <f>IF(OR(F3="",G3=""),"",(G3-F3)*1440)</f>
        <v/>
      </c>
      <c r="I3" s="17" t="inlineStr">
        <is>
          <t>기타·행정</t>
        </is>
      </c>
      <c r="J3" s="18" t="inlineStr">
        <is>
          <t>ETC-01 메일·메신저 확인 및 회신</t>
        </is>
      </c>
      <c r="K3" s="18" t="inlineStr">
        <is>
          <t>출근 후 메일·메신저·업무보드 확인 및 회신</t>
        </is>
      </c>
      <c r="L3" s="18" t="inlineStr">
        <is>
          <t>전사</t>
        </is>
      </c>
      <c r="M3" s="17" t="inlineStr">
        <is>
          <t>CRM센터-POUR OS(업무보드)</t>
        </is>
      </c>
      <c r="N3" t="inlineStr">
        <is>
          <t>https://pourstorecrm.web.app/pour-os</t>
        </is>
      </c>
      <c r="O3" s="17" t="n"/>
      <c r="P3" s="17" t="n"/>
      <c r="Q3" s="17" t="inlineStr">
        <is>
          <t>회신 처리</t>
        </is>
      </c>
      <c r="R3" s="17" t="inlineStr">
        <is>
          <t>매일</t>
        </is>
      </c>
      <c r="S3" s="17" t="inlineStr">
        <is>
          <t>정형(매뉴얼화 가능)</t>
        </is>
      </c>
      <c r="T3" s="17" t="inlineStr">
        <is>
          <t>예 - 확실히 중복</t>
        </is>
      </c>
      <c r="U3" s="18" t="inlineStr">
        <is>
          <t>팀별 요청·공지를 업무보드 알림 하나로 일원화</t>
        </is>
      </c>
    </row>
    <row r="4">
      <c r="A4" s="8" t="inlineStr">
        <is>
          <t>브랜드커머스</t>
        </is>
      </c>
      <c r="B4" s="8" t="inlineStr">
        <is>
          <t>김송희</t>
        </is>
      </c>
      <c r="C4" s="8" t="inlineStr">
        <is>
          <t>브랜드커머스, 모여라딜 리드</t>
        </is>
      </c>
      <c r="D4" s="57" t="n">
        <v>46244</v>
      </c>
      <c r="E4" s="8" t="inlineStr">
        <is>
          <t>월</t>
        </is>
      </c>
      <c r="F4" s="58" t="n">
        <v>0.3958333333333333</v>
      </c>
      <c r="G4" s="58" t="n">
        <v>0.4166666666666667</v>
      </c>
      <c r="H4" s="7">
        <f>IF(OR(F4="",G4=""),"",(G4-F4)*1440)</f>
        <v/>
      </c>
      <c r="I4" s="8" t="inlineStr">
        <is>
          <t>데이터·정산</t>
        </is>
      </c>
      <c r="J4" s="8" t="inlineStr">
        <is>
          <t>OPS-06 일일 주문,매출 확인</t>
        </is>
      </c>
      <c r="K4" s="8" t="inlineStr">
        <is>
          <t>금일 주문,매출 확인</t>
        </is>
      </c>
      <c r="L4" s="8" t="inlineStr">
        <is>
          <t>POUR스토어 / 자사몰·오픈마켓</t>
        </is>
      </c>
      <c r="M4" s="8" t="inlineStr">
        <is>
          <t>사방넷</t>
        </is>
      </c>
      <c r="O4" s="8" t="n"/>
      <c r="P4" s="8" t="n"/>
      <c r="Q4" s="8" t="inlineStr">
        <is>
          <t>일일 주문 확인 내역</t>
        </is>
      </c>
      <c r="R4" s="8" t="inlineStr">
        <is>
          <t>매일</t>
        </is>
      </c>
      <c r="S4" s="8" t="inlineStr">
        <is>
          <t>정형(매뉴얼화 가능)</t>
        </is>
      </c>
      <c r="T4" s="8" t="inlineStr">
        <is>
          <t>예 - 확실히 중복</t>
        </is>
      </c>
      <c r="U4" s="8" t="inlineStr">
        <is>
          <t>채널별 주문을 통합 주문판으로 자동 취합</t>
        </is>
      </c>
    </row>
    <row r="5">
      <c r="A5" s="8" t="inlineStr">
        <is>
          <t>브랜드커머스</t>
        </is>
      </c>
      <c r="B5" s="8" t="inlineStr">
        <is>
          <t>김송희</t>
        </is>
      </c>
      <c r="C5" s="8" t="inlineStr">
        <is>
          <t>브랜드커머스, 모여라딜 리드</t>
        </is>
      </c>
      <c r="D5" s="57" t="n">
        <v>46244</v>
      </c>
      <c r="E5" s="8" t="inlineStr">
        <is>
          <t>월</t>
        </is>
      </c>
      <c r="F5" s="58" t="n">
        <v>0.4166666666666667</v>
      </c>
      <c r="G5" s="58" t="n">
        <v>0.4583333333333333</v>
      </c>
      <c r="H5" s="7">
        <f>IF(OR(F5="",G5=""),"",(G5-F5)*1440)</f>
        <v/>
      </c>
      <c r="I5" s="8" t="inlineStr">
        <is>
          <t>마케팅·광고운영</t>
        </is>
      </c>
      <c r="J5" s="8" t="inlineStr">
        <is>
          <t>MKT-08 제휴마케팅(링크프라이스 등) 운영·성과확인</t>
        </is>
      </c>
      <c r="K5" s="8" t="inlineStr">
        <is>
          <t>링크프라이스 제휴광고 집행 현황 확인 및 신제품 검색 시 상위노출 여부 점검</t>
        </is>
      </c>
      <c r="L5" s="8" t="inlineStr">
        <is>
          <t>POUR스토어 / 링크프라이스·네이버쇼핑</t>
        </is>
      </c>
      <c r="M5" s="8" t="inlineStr">
        <is>
          <t>링크프라이스 관리자, 네이버쇼핑</t>
        </is>
      </c>
      <c r="O5" s="8" t="n"/>
      <c r="P5" s="8" t="inlineStr">
        <is>
          <t>링크프라이스</t>
        </is>
      </c>
      <c r="Q5" s="8" t="inlineStr">
        <is>
          <t>제휴광고 현황 점검 메모</t>
        </is>
      </c>
      <c r="R5" s="8" t="inlineStr">
        <is>
          <t>주 1회</t>
        </is>
      </c>
      <c r="S5" s="8" t="inlineStr">
        <is>
          <t>반정형</t>
        </is>
      </c>
      <c r="T5" s="8" t="inlineStr">
        <is>
          <t>아마도 중복</t>
        </is>
      </c>
      <c r="U5" s="8" t="inlineStr">
        <is>
          <t>제휴·검색광고 성과를 본부 공용 대시보드로 자동 수집</t>
        </is>
      </c>
    </row>
    <row r="6">
      <c r="A6" s="8" t="inlineStr">
        <is>
          <t>브랜드커머스</t>
        </is>
      </c>
      <c r="B6" s="8" t="inlineStr">
        <is>
          <t>김송희</t>
        </is>
      </c>
      <c r="C6" s="8" t="inlineStr">
        <is>
          <t>브랜드커머스, 모여라딜 리드</t>
        </is>
      </c>
      <c r="D6" s="57" t="n">
        <v>46244</v>
      </c>
      <c r="E6" s="8" t="inlineStr">
        <is>
          <t>월</t>
        </is>
      </c>
      <c r="F6" s="58" t="n">
        <v>0.4583333333333333</v>
      </c>
      <c r="G6" s="58" t="n">
        <v>0.4791666666666667</v>
      </c>
      <c r="H6" s="7">
        <f>IF(OR(F6="",G6=""),"",(G6-F6)*1440)</f>
        <v/>
      </c>
      <c r="I6" s="8" t="inlineStr">
        <is>
          <t>마케팅·광고운영</t>
        </is>
      </c>
      <c r="J6" s="8" t="inlineStr">
        <is>
          <t>MKT-05 프로모션·기획전 기획</t>
        </is>
      </c>
      <c r="K6" s="8" t="inlineStr">
        <is>
          <t>8월 프로모션 기획 요청 — 민지님께 기획 방향 전달 및 작성 요청</t>
        </is>
      </c>
      <c r="L6" s="8" t="inlineStr">
        <is>
          <t>POUR스토어</t>
        </is>
      </c>
      <c r="M6" s="8" t="inlineStr">
        <is>
          <t>CRM센터-POUR OS(업무보드)</t>
        </is>
      </c>
      <c r="N6" t="inlineStr">
        <is>
          <t>https://pourstorecrm.web.app/pour-os</t>
        </is>
      </c>
      <c r="O6" s="8" t="inlineStr">
        <is>
          <t>김민지</t>
        </is>
      </c>
      <c r="P6" s="8" t="n"/>
      <c r="Q6" s="8" t="inlineStr">
        <is>
          <t>프로모션 기획 요청서</t>
        </is>
      </c>
      <c r="R6" s="8" t="inlineStr">
        <is>
          <t>월 1회</t>
        </is>
      </c>
      <c r="S6" s="8" t="inlineStr">
        <is>
          <t>반정형</t>
        </is>
      </c>
      <c r="T6" s="8" t="inlineStr">
        <is>
          <t>아마도 중복</t>
        </is>
      </c>
      <c r="U6" s="8" t="inlineStr">
        <is>
          <t>프로모션 기획 요청 양식 표준화 + 본부 공용 프로모션 캘린더</t>
        </is>
      </c>
    </row>
    <row r="7">
      <c r="A7" s="8" t="inlineStr">
        <is>
          <t>브랜드커머스</t>
        </is>
      </c>
      <c r="B7" s="8" t="inlineStr">
        <is>
          <t>김송희</t>
        </is>
      </c>
      <c r="C7" s="8" t="inlineStr">
        <is>
          <t>브랜드커머스, 모여라딜 리드</t>
        </is>
      </c>
      <c r="D7" s="57" t="n">
        <v>46244</v>
      </c>
      <c r="E7" s="8" t="inlineStr">
        <is>
          <t>월</t>
        </is>
      </c>
      <c r="F7" s="58" t="n">
        <v>0.4791666666666667</v>
      </c>
      <c r="G7" s="58" t="n">
        <v>0.5</v>
      </c>
      <c r="H7" s="7">
        <f>IF(OR(F7="",G7=""),"",(G7-F7)*1440)</f>
        <v/>
      </c>
      <c r="I7" s="8" t="inlineStr">
        <is>
          <t>파트너·대리점관리</t>
        </is>
      </c>
      <c r="J7" s="8" t="inlineStr">
        <is>
          <t>PTR-02 대리점·파트너 인터뷰·VOC 수집</t>
        </is>
      </c>
      <c r="K7" s="8" t="inlineStr">
        <is>
          <t>금요일 부산 대리점 방문 미팅·인터뷰 질문지 제작 요청(란님께)</t>
        </is>
      </c>
      <c r="L7" s="8" t="inlineStr">
        <is>
          <t>대리점(가나랜드·경남지사)</t>
        </is>
      </c>
      <c r="M7" s="8" t="inlineStr">
        <is>
          <t>CRM센터-POUR OS(업무보드)</t>
        </is>
      </c>
      <c r="N7" t="inlineStr">
        <is>
          <t>https://pourstorecrm.web.app/pour-os</t>
        </is>
      </c>
      <c r="O7" s="8" t="inlineStr">
        <is>
          <t>이란</t>
        </is>
      </c>
      <c r="P7" s="8" t="n"/>
      <c r="Q7" s="8" t="inlineStr">
        <is>
          <t>대리점 인터뷰 질문지</t>
        </is>
      </c>
      <c r="R7" s="8" t="inlineStr">
        <is>
          <t>분기/비정기</t>
        </is>
      </c>
      <c r="S7" s="8" t="inlineStr">
        <is>
          <t>반정형</t>
        </is>
      </c>
      <c r="T7" s="8" t="inlineStr">
        <is>
          <t>모름</t>
        </is>
      </c>
      <c r="U7" s="8" t="inlineStr">
        <is>
          <t>대리점 인터뷰 질문지 표준 템플릿화</t>
        </is>
      </c>
    </row>
    <row r="8">
      <c r="A8" s="8" t="inlineStr">
        <is>
          <t>브랜드커머스</t>
        </is>
      </c>
      <c r="B8" s="8" t="inlineStr">
        <is>
          <t>김송희</t>
        </is>
      </c>
      <c r="C8" s="8" t="inlineStr">
        <is>
          <t>브랜드커머스, 모여라딜 리드</t>
        </is>
      </c>
      <c r="D8" s="57" t="n">
        <v>46244</v>
      </c>
      <c r="E8" s="8" t="inlineStr">
        <is>
          <t>월</t>
        </is>
      </c>
      <c r="F8" s="58" t="n">
        <v>0.5</v>
      </c>
      <c r="G8" s="58" t="n">
        <v>0.5416666666666666</v>
      </c>
      <c r="H8" s="7">
        <f>IF(OR(F8="",G8=""),"",(G8-F8)*1440)</f>
        <v/>
      </c>
      <c r="I8" s="8" t="inlineStr">
        <is>
          <t>기타·행정</t>
        </is>
      </c>
      <c r="J8" s="8" t="inlineStr">
        <is>
          <t>ETC-05 휴게·점심</t>
        </is>
      </c>
      <c r="K8" s="8" t="inlineStr">
        <is>
          <t>점심 및 휴게</t>
        </is>
      </c>
      <c r="L8" s="8" t="n"/>
      <c r="M8" s="8" t="n"/>
      <c r="O8" s="8" t="n"/>
      <c r="P8" s="8" t="n"/>
      <c r="Q8" s="8" t="n"/>
      <c r="R8" s="8" t="inlineStr">
        <is>
          <t>매일</t>
        </is>
      </c>
      <c r="S8" s="8" t="inlineStr">
        <is>
          <t>정형(매뉴얼화 가능)</t>
        </is>
      </c>
      <c r="T8" s="8" t="inlineStr">
        <is>
          <t>예 - 확실히 중복</t>
        </is>
      </c>
      <c r="U8" s="8" t="n"/>
    </row>
    <row r="9">
      <c r="A9" s="8" t="inlineStr">
        <is>
          <t>브랜드커머스</t>
        </is>
      </c>
      <c r="B9" s="8" t="inlineStr">
        <is>
          <t>김송희</t>
        </is>
      </c>
      <c r="C9" s="8" t="inlineStr">
        <is>
          <t>브랜드커머스, 모여라딜 리드</t>
        </is>
      </c>
      <c r="D9" s="57" t="n">
        <v>46244</v>
      </c>
      <c r="E9" s="8" t="inlineStr">
        <is>
          <t>월</t>
        </is>
      </c>
      <c r="F9" s="58" t="n">
        <v>0.5416666666666666</v>
      </c>
      <c r="G9" s="58" t="n">
        <v>0.5625</v>
      </c>
      <c r="H9" s="7">
        <f>IF(OR(F9="",G9=""),"",(G9-F9)*1440)</f>
        <v/>
      </c>
      <c r="I9" s="8" t="inlineStr">
        <is>
          <t>사내시스템·자동화</t>
        </is>
      </c>
      <c r="J9" s="8" t="inlineStr">
        <is>
          <t>SYS-01 사내 시스템·앱 기획/개선 요청</t>
        </is>
      </c>
      <c r="K9" s="8" t="inlineStr">
        <is>
          <t>CRM센터 NPS 기능 개선 요청 — 채림님께 개선 항목 정리·전달</t>
        </is>
      </c>
      <c r="L9" s="8" t="inlineStr">
        <is>
          <t>CRM센터</t>
        </is>
      </c>
      <c r="M9" s="8" t="inlineStr">
        <is>
          <t>CRM센터</t>
        </is>
      </c>
      <c r="N9" t="inlineStr">
        <is>
          <t>https://pourstorecrm.web.app/pour-os</t>
        </is>
      </c>
      <c r="O9" s="8" t="inlineStr">
        <is>
          <t>양채림</t>
        </is>
      </c>
      <c r="P9" s="8" t="n"/>
      <c r="Q9" s="8" t="inlineStr">
        <is>
          <t>기능 개선 요청 내역</t>
        </is>
      </c>
      <c r="R9" s="8" t="inlineStr">
        <is>
          <t>주 1회</t>
        </is>
      </c>
      <c r="S9" s="8" t="inlineStr">
        <is>
          <t>반정형</t>
        </is>
      </c>
      <c r="T9" s="8" t="inlineStr">
        <is>
          <t>모름</t>
        </is>
      </c>
      <c r="U9" s="8" t="inlineStr">
        <is>
          <t>사내 시스템 개선 요청을 티켓(이슈보드)으로 단일 창구화</t>
        </is>
      </c>
    </row>
    <row r="10">
      <c r="A10" s="8" t="inlineStr">
        <is>
          <t>브랜드커머스</t>
        </is>
      </c>
      <c r="B10" s="8" t="inlineStr">
        <is>
          <t>김송희</t>
        </is>
      </c>
      <c r="C10" s="8" t="inlineStr">
        <is>
          <t>브랜드커머스, 모여라딜 리드</t>
        </is>
      </c>
      <c r="D10" s="57" t="n">
        <v>46244</v>
      </c>
      <c r="E10" s="8" t="inlineStr">
        <is>
          <t>월</t>
        </is>
      </c>
      <c r="F10" s="58" t="n">
        <v>0.5625</v>
      </c>
      <c r="G10" s="58" t="n">
        <v>0.5833333333333334</v>
      </c>
      <c r="H10" s="7">
        <f>IF(OR(F10="",G10=""),"",(G10-F10)*1440)</f>
        <v/>
      </c>
      <c r="I10" s="8" t="inlineStr">
        <is>
          <t>사내시스템·자동화</t>
        </is>
      </c>
      <c r="J10" s="8" t="inlineStr">
        <is>
          <t>SYS-01 사내 시스템·앱 기획/개선 요청</t>
        </is>
      </c>
      <c r="K10" s="8" t="inlineStr">
        <is>
          <t>소싱앱 기능 고도화 요청-운전하면서도 쉽고빠르게 사용가능하게(정하님께)</t>
        </is>
      </c>
      <c r="L10" s="8" t="inlineStr">
        <is>
          <t>소싱앱</t>
        </is>
      </c>
      <c r="M10" s="8" t="inlineStr">
        <is>
          <t>소싱앱</t>
        </is>
      </c>
      <c r="N10" t="inlineStr">
        <is>
          <t>소싱 관리 · 모여라딜 (moyeoradeal-sourcing.pages.dev)</t>
        </is>
      </c>
      <c r="O10" s="8" t="inlineStr">
        <is>
          <t>용정하</t>
        </is>
      </c>
      <c r="P10" s="8" t="n"/>
      <c r="Q10" s="8" t="inlineStr">
        <is>
          <t>기능 고도화 요청 내역</t>
        </is>
      </c>
      <c r="R10" s="8" t="inlineStr">
        <is>
          <t>주 1회</t>
        </is>
      </c>
      <c r="S10" s="8" t="inlineStr">
        <is>
          <t>반정형</t>
        </is>
      </c>
      <c r="T10" s="8" t="inlineStr">
        <is>
          <t>모름</t>
        </is>
      </c>
      <c r="U10" s="8" t="inlineStr">
        <is>
          <t>사내 시스템 개선 요청을 티켓(이슈보드)으로 단일 창구화</t>
        </is>
      </c>
    </row>
    <row r="11">
      <c r="A11" s="8" t="inlineStr">
        <is>
          <t>브랜드커머스</t>
        </is>
      </c>
      <c r="B11" s="8" t="inlineStr">
        <is>
          <t>김송희</t>
        </is>
      </c>
      <c r="C11" s="8" t="inlineStr">
        <is>
          <t>브랜드커머스, 모여라딜 리드</t>
        </is>
      </c>
      <c r="D11" s="57" t="n">
        <v>46244</v>
      </c>
      <c r="E11" s="8" t="inlineStr">
        <is>
          <t>월</t>
        </is>
      </c>
      <c r="F11" s="58" t="n">
        <v>0.5833333333333334</v>
      </c>
      <c r="G11" s="58" t="n">
        <v>0.625</v>
      </c>
      <c r="H11" s="7">
        <f>IF(OR(F11="",G11=""),"",(G11-F11)*1440)</f>
        <v/>
      </c>
      <c r="I11" s="8" t="inlineStr">
        <is>
          <t>사내시스템·자동화</t>
        </is>
      </c>
      <c r="J11" s="8" t="inlineStr">
        <is>
          <t>SYS-01 사내 시스템·앱 기획/개선 요청</t>
        </is>
      </c>
      <c r="K11" s="8" t="inlineStr">
        <is>
          <t>소싱앱 UX/UI 개선 — 정하님 추가 고도화 건 화면별 피드백 작성</t>
        </is>
      </c>
      <c r="L11" s="8" t="inlineStr">
        <is>
          <t>소싱앱</t>
        </is>
      </c>
      <c r="M11" s="8" t="inlineStr">
        <is>
          <t>소싱앱</t>
        </is>
      </c>
      <c r="N11" t="inlineStr">
        <is>
          <t>소싱 관리 · 모여라딜 (moyeoradeal-sourcing.pages.dev)</t>
        </is>
      </c>
      <c r="O11" s="8" t="inlineStr">
        <is>
          <t>용정하</t>
        </is>
      </c>
      <c r="P11" s="8" t="n"/>
      <c r="Q11" s="8" t="inlineStr">
        <is>
          <t>UX/UI 개선 피드백</t>
        </is>
      </c>
      <c r="R11" s="8" t="inlineStr">
        <is>
          <t>주 2~3회</t>
        </is>
      </c>
      <c r="S11" s="8" t="inlineStr">
        <is>
          <t>비정형(판단 필요)</t>
        </is>
      </c>
      <c r="T11" s="8" t="inlineStr">
        <is>
          <t>모름</t>
        </is>
      </c>
      <c r="U11" s="8" t="inlineStr">
        <is>
          <t>개선 요청·피드백 이력을 앱 내 이슈보드로 관리해 재설명 시간 제거</t>
        </is>
      </c>
    </row>
    <row r="12">
      <c r="A12" s="8" t="inlineStr">
        <is>
          <t>브랜드커머스</t>
        </is>
      </c>
      <c r="B12" s="8" t="inlineStr">
        <is>
          <t>김송희</t>
        </is>
      </c>
      <c r="C12" s="8" t="inlineStr">
        <is>
          <t>브랜드커머스, 모여라딜 리드</t>
        </is>
      </c>
      <c r="D12" s="57" t="n">
        <v>46244</v>
      </c>
      <c r="E12" s="8" t="inlineStr">
        <is>
          <t>월</t>
        </is>
      </c>
      <c r="F12" s="58" t="n">
        <v>0.625</v>
      </c>
      <c r="G12" s="58" t="n">
        <v>0.6458333333333334</v>
      </c>
      <c r="H12" s="7">
        <f>IF(OR(F12="",G12=""),"",(G12-F12)*1440)</f>
        <v/>
      </c>
      <c r="I12" s="8" t="inlineStr">
        <is>
          <t>채널·스토어운영</t>
        </is>
      </c>
      <c r="J12" s="8" t="inlineStr">
        <is>
          <t>CHN-01 상품 등록·수정(옵션/가격)</t>
        </is>
      </c>
      <c r="K12" s="8" t="inlineStr">
        <is>
          <t>가나랜드(대리점) 스마트스토어 상품등록 요청(란님께)</t>
        </is>
      </c>
      <c r="L12" s="8" t="inlineStr">
        <is>
          <t>가나랜드 / 스마트스토어</t>
        </is>
      </c>
      <c r="M12" s="8" t="inlineStr">
        <is>
          <t>스마트스토어센터</t>
        </is>
      </c>
      <c r="O12" s="8" t="inlineStr">
        <is>
          <t>이란</t>
        </is>
      </c>
      <c r="P12" s="8" t="inlineStr">
        <is>
          <t>가나랜드</t>
        </is>
      </c>
      <c r="Q12" s="8" t="inlineStr">
        <is>
          <t>상품등록 요청 내역</t>
        </is>
      </c>
      <c r="R12" s="8" t="inlineStr">
        <is>
          <t>주 1회</t>
        </is>
      </c>
      <c r="S12" s="8" t="inlineStr">
        <is>
          <t>정형(매뉴얼화 가능)</t>
        </is>
      </c>
      <c r="T12" s="8" t="inlineStr">
        <is>
          <t>예 - 확실히 중복</t>
        </is>
      </c>
      <c r="U12" s="8" t="inlineStr">
        <is>
          <t>상품 마스터 DB 기준 채널 자동 등록</t>
        </is>
      </c>
    </row>
    <row r="13">
      <c r="A13" s="8" t="inlineStr">
        <is>
          <t>브랜드커머스</t>
        </is>
      </c>
      <c r="B13" s="8" t="inlineStr">
        <is>
          <t>김송희</t>
        </is>
      </c>
      <c r="C13" s="8" t="inlineStr">
        <is>
          <t>브랜드커머스, 모여라딜 리드</t>
        </is>
      </c>
      <c r="D13" s="57" t="n">
        <v>46244</v>
      </c>
      <c r="E13" s="8" t="inlineStr">
        <is>
          <t>월</t>
        </is>
      </c>
      <c r="F13" s="58" t="n">
        <v>0.6458333333333334</v>
      </c>
      <c r="G13" s="58" t="n">
        <v>0.6666666666666666</v>
      </c>
      <c r="H13" s="7">
        <f>IF(OR(F13="",G13=""),"",(G13-F13)*1440)</f>
        <v/>
      </c>
      <c r="I13" s="8" t="inlineStr">
        <is>
          <t>제조·생산관리</t>
        </is>
      </c>
      <c r="J13" s="8" t="inlineStr">
        <is>
          <t>MFG-06 선적·입고 일정 관리</t>
        </is>
      </c>
      <c r="K13" s="8" t="inlineStr">
        <is>
          <t>신제품(외벽·슁글·목재·판넬) 생산완료 건 입고 요청(채림님께)</t>
        </is>
      </c>
      <c r="L13" s="8" t="inlineStr">
        <is>
          <t>신제품 4종</t>
        </is>
      </c>
      <c r="M13" s="8" t="inlineStr">
        <is>
          <t>CRM센터-POUR OS(업무보드)</t>
        </is>
      </c>
      <c r="N13" t="inlineStr">
        <is>
          <t>https://pourstorecrm.web.app/pour-os</t>
        </is>
      </c>
      <c r="O13" s="8" t="inlineStr">
        <is>
          <t>양채림</t>
        </is>
      </c>
      <c r="P13" s="8" t="inlineStr">
        <is>
          <t>생산공장</t>
        </is>
      </c>
      <c r="Q13" s="8" t="inlineStr">
        <is>
          <t>입고 요청 내역</t>
        </is>
      </c>
      <c r="R13" s="8" t="inlineStr">
        <is>
          <t>주 1회</t>
        </is>
      </c>
      <c r="S13" s="8" t="inlineStr">
        <is>
          <t>정형(매뉴얼화 가능)</t>
        </is>
      </c>
      <c r="T13" s="8" t="inlineStr">
        <is>
          <t>아마도 중복</t>
        </is>
      </c>
      <c r="U13" s="8" t="inlineStr">
        <is>
          <t>생산완료 → 입고요청 자동 알림 연동</t>
        </is>
      </c>
    </row>
    <row r="14">
      <c r="A14" s="8" t="inlineStr">
        <is>
          <t>브랜드커머스</t>
        </is>
      </c>
      <c r="B14" s="8" t="inlineStr">
        <is>
          <t>김송희</t>
        </is>
      </c>
      <c r="C14" s="8" t="inlineStr">
        <is>
          <t>브랜드커머스, 모여라딜 리드</t>
        </is>
      </c>
      <c r="D14" s="57" t="n">
        <v>46244</v>
      </c>
      <c r="E14" s="8" t="inlineStr">
        <is>
          <t>월</t>
        </is>
      </c>
      <c r="F14" s="58" t="n">
        <v>0.6666666666666666</v>
      </c>
      <c r="G14" s="58" t="n">
        <v>0.7083333333333334</v>
      </c>
      <c r="H14" s="7">
        <f>IF(OR(F14="",G14=""),"",(G14-F14)*1440)</f>
        <v/>
      </c>
      <c r="I14" s="8" t="inlineStr">
        <is>
          <t>CS·물류·재고</t>
        </is>
      </c>
      <c r="J14" s="8" t="inlineStr">
        <is>
          <t>OPS-03 재고 현황 점검·발주 요청</t>
        </is>
      </c>
      <c r="K14" s="8" t="inlineStr">
        <is>
          <t>쿠팡 판매량 확인 및 재고부족 건 입고 요청 / 담당 인수인계 안내(채림님·란님)</t>
        </is>
      </c>
      <c r="L14" s="8" t="inlineStr">
        <is>
          <t>POUR스토어 / 쿠팡</t>
        </is>
      </c>
      <c r="M14" s="8" t="inlineStr">
        <is>
          <t>쿠팡 WING</t>
        </is>
      </c>
      <c r="O14" s="8" t="inlineStr">
        <is>
          <t>양채림, 이란</t>
        </is>
      </c>
      <c r="P14" s="8" t="n"/>
      <c r="Q14" s="8" t="inlineStr">
        <is>
          <t>재고·입고 요청 내역</t>
        </is>
      </c>
      <c r="R14" s="8" t="inlineStr">
        <is>
          <t>매일</t>
        </is>
      </c>
      <c r="S14" s="8" t="inlineStr">
        <is>
          <t>정형(매뉴얼화 가능)</t>
        </is>
      </c>
      <c r="T14" s="8" t="inlineStr">
        <is>
          <t>예 - 확실히 중복</t>
        </is>
      </c>
      <c r="U14" s="8" t="inlineStr">
        <is>
          <t>채널 재고 임계치 도달 시 자동 알림·발주 요청</t>
        </is>
      </c>
    </row>
    <row r="15">
      <c r="A15" s="8" t="inlineStr">
        <is>
          <t>브랜드커머스</t>
        </is>
      </c>
      <c r="B15" s="8" t="inlineStr">
        <is>
          <t>김송희</t>
        </is>
      </c>
      <c r="C15" s="8" t="inlineStr">
        <is>
          <t>브랜드커머스, 모여라딜 리드</t>
        </is>
      </c>
      <c r="D15" s="57" t="n">
        <v>46244</v>
      </c>
      <c r="E15" s="8" t="inlineStr">
        <is>
          <t>월</t>
        </is>
      </c>
      <c r="F15" s="58" t="n">
        <v>0.7083333333333334</v>
      </c>
      <c r="G15" s="58" t="n">
        <v>0.75</v>
      </c>
      <c r="H15" s="7">
        <f>IF(OR(F15="",G15=""),"",(G15-F15)*1440)</f>
        <v/>
      </c>
      <c r="I15" s="8" t="inlineStr">
        <is>
          <t>마케팅·광고운영</t>
        </is>
      </c>
      <c r="J15" s="8" t="inlineStr">
        <is>
          <t>MKT-04 인플루언서·체험단 섭외/관리</t>
        </is>
      </c>
      <c r="K15" s="8" t="inlineStr">
        <is>
          <t>퍼포먼스마케팅 인플루언서/셀러 협업 현황 확인 및 컨택 방안 피드백(채림님께)</t>
        </is>
      </c>
      <c r="L15" s="8" t="inlineStr">
        <is>
          <t>POUR스토어</t>
        </is>
      </c>
      <c r="M15" s="8" t="inlineStr">
        <is>
          <t>CRM센터-POUR OS(업무보드)</t>
        </is>
      </c>
      <c r="N15" t="inlineStr">
        <is>
          <t>https://pourstorecrm.web.app/pour-os</t>
        </is>
      </c>
      <c r="O15" s="8" t="inlineStr">
        <is>
          <t>양채림</t>
        </is>
      </c>
      <c r="P15" s="8" t="inlineStr">
        <is>
          <t>인플루언서·셀러</t>
        </is>
      </c>
      <c r="Q15" s="8" t="inlineStr">
        <is>
          <t>협업 컨택 방안 피드백</t>
        </is>
      </c>
      <c r="R15" s="8" t="inlineStr">
        <is>
          <t>주 1회</t>
        </is>
      </c>
      <c r="S15" s="8" t="inlineStr">
        <is>
          <t>비정형(판단 필요)</t>
        </is>
      </c>
      <c r="T15" s="8" t="inlineStr">
        <is>
          <t>아마도 중복</t>
        </is>
      </c>
      <c r="U15" s="8" t="inlineStr">
        <is>
          <t>인플루언서/셀러 컨택 이력 DB 공용화(중복 컨택 방지)</t>
        </is>
      </c>
    </row>
    <row r="16">
      <c r="A16" s="8" t="inlineStr">
        <is>
          <t>브랜드커머스</t>
        </is>
      </c>
      <c r="B16" s="8" t="inlineStr">
        <is>
          <t>김송희</t>
        </is>
      </c>
      <c r="C16" s="8" t="inlineStr">
        <is>
          <t>브랜드커머스, 모여라딜 리드</t>
        </is>
      </c>
      <c r="D16" s="57" t="n">
        <v>46245</v>
      </c>
      <c r="E16" s="8" t="inlineStr">
        <is>
          <t>화</t>
        </is>
      </c>
      <c r="F16" s="58" t="n">
        <v>0.375</v>
      </c>
      <c r="G16" s="58" t="n">
        <v>0.3958333333333333</v>
      </c>
      <c r="H16" s="7">
        <f>IF(OR(F16="",G16=""),"",(G16-F16)*1440)</f>
        <v/>
      </c>
      <c r="I16" s="8" t="inlineStr">
        <is>
          <t>기타·행정</t>
        </is>
      </c>
      <c r="J16" s="8" t="inlineStr">
        <is>
          <t>ETC-01 메일·메신저 확인 및 회신</t>
        </is>
      </c>
      <c r="K16" s="8" t="inlineStr">
        <is>
          <t>출근 후 메일·메신저·업무보드 확인 및 회신</t>
        </is>
      </c>
      <c r="L16" s="8" t="inlineStr">
        <is>
          <t>전사</t>
        </is>
      </c>
      <c r="M16" s="8" t="inlineStr">
        <is>
          <t>CRM센터-POUR OS(업무보드)</t>
        </is>
      </c>
      <c r="N16" t="inlineStr">
        <is>
          <t>https://pourstorecrm.web.app/pour-os</t>
        </is>
      </c>
      <c r="O16" s="8" t="n"/>
      <c r="P16" s="8" t="n"/>
      <c r="Q16" s="8" t="inlineStr">
        <is>
          <t>회신 처리</t>
        </is>
      </c>
      <c r="R16" s="8" t="inlineStr">
        <is>
          <t>매일</t>
        </is>
      </c>
      <c r="S16" s="8" t="inlineStr">
        <is>
          <t>정형(매뉴얼화 가능)</t>
        </is>
      </c>
      <c r="T16" s="8" t="inlineStr">
        <is>
          <t>예 - 확실히 중복</t>
        </is>
      </c>
      <c r="U16" s="8" t="inlineStr">
        <is>
          <t>팀별 요청·공지를 업무보드 알림 하나로 일원화</t>
        </is>
      </c>
    </row>
    <row r="17">
      <c r="A17" s="8" t="inlineStr">
        <is>
          <t>브랜드커머스</t>
        </is>
      </c>
      <c r="B17" s="8" t="inlineStr">
        <is>
          <t>김송희</t>
        </is>
      </c>
      <c r="C17" s="8" t="inlineStr">
        <is>
          <t>브랜드커머스, 모여라딜 리드</t>
        </is>
      </c>
      <c r="D17" s="57" t="n">
        <v>46245</v>
      </c>
      <c r="E17" s="8" t="inlineStr">
        <is>
          <t>화</t>
        </is>
      </c>
      <c r="F17" s="58" t="n">
        <v>0.3958333333333333</v>
      </c>
      <c r="G17" s="58" t="n">
        <v>0.4583333333333333</v>
      </c>
      <c r="H17" s="7">
        <f>IF(OR(F17="",G17=""),"",(G17-F17)*1440)</f>
        <v/>
      </c>
      <c r="I17" s="8" t="inlineStr">
        <is>
          <t>기획·보고·회의</t>
        </is>
      </c>
      <c r="J17" s="8" t="inlineStr">
        <is>
          <t>MGT-01 팀 내부 회의</t>
        </is>
      </c>
      <c r="K17" s="8" t="inlineStr">
        <is>
          <t>모여라딜 피봇팅 방향 논의 및 정하님 업무 진행방향 미팅</t>
        </is>
      </c>
      <c r="L17" s="8" t="inlineStr">
        <is>
          <t>모여라딜</t>
        </is>
      </c>
      <c r="M17" s="8" t="n"/>
      <c r="N17" t="inlineStr">
        <is>
          <t>https://pourstorecrm.web.app/pour-os</t>
        </is>
      </c>
      <c r="O17" s="8" t="inlineStr">
        <is>
          <t>용정하</t>
        </is>
      </c>
      <c r="P17" s="8" t="n"/>
      <c r="Q17" s="8" t="inlineStr">
        <is>
          <t>미팅 결과·업무 방향 메모</t>
        </is>
      </c>
      <c r="R17" s="8" t="inlineStr">
        <is>
          <t>주 1회</t>
        </is>
      </c>
      <c r="S17" s="8" t="inlineStr">
        <is>
          <t>비정형(판단 필요)</t>
        </is>
      </c>
      <c r="T17" s="8" t="inlineStr">
        <is>
          <t>모름</t>
        </is>
      </c>
      <c r="U17" s="8" t="inlineStr">
        <is>
          <t>논의 결과를 업무보드 프로젝트 카드로 즉시 반영</t>
        </is>
      </c>
    </row>
    <row r="18">
      <c r="A18" s="8" t="inlineStr">
        <is>
          <t>브랜드커머스</t>
        </is>
      </c>
      <c r="B18" s="8" t="inlineStr">
        <is>
          <t>김송희</t>
        </is>
      </c>
      <c r="C18" s="8" t="inlineStr">
        <is>
          <t>브랜드커머스, 모여라딜 리드</t>
        </is>
      </c>
      <c r="D18" s="57" t="n">
        <v>46245</v>
      </c>
      <c r="E18" s="8" t="inlineStr">
        <is>
          <t>화</t>
        </is>
      </c>
      <c r="F18" s="58" t="n">
        <v>0.4583333333333333</v>
      </c>
      <c r="G18" s="58" t="n">
        <v>0.5</v>
      </c>
      <c r="H18" s="7">
        <f>IF(OR(F18="",G18=""),"",(G18-F18)*1440)</f>
        <v/>
      </c>
      <c r="I18" s="8" t="inlineStr">
        <is>
          <t>콘텐츠제작</t>
        </is>
      </c>
      <c r="J18" s="8" t="inlineStr">
        <is>
          <t>CNT-02 촬영 기획·진행</t>
        </is>
      </c>
      <c r="K18" s="8" t="inlineStr">
        <is>
          <t>제품시공 촬영 — 테스트촬영 및 대여 탐색, 채림님께 인수인계하여 진행 요청 (아파트·공장·일반주택 대상)</t>
        </is>
      </c>
      <c r="L18" s="8" t="inlineStr">
        <is>
          <t>시공 제품 / 아파트·공장·일반주택</t>
        </is>
      </c>
      <c r="M18" s="8" t="inlineStr">
        <is>
          <t>CRM센터-POUR OS(업무보드)</t>
        </is>
      </c>
      <c r="N18" t="inlineStr">
        <is>
          <t>https://pourstorecrm.web.app/pour-os</t>
        </is>
      </c>
      <c r="O18" s="8" t="inlineStr">
        <is>
          <t>양채림</t>
        </is>
      </c>
      <c r="P18" s="8" t="n"/>
      <c r="Q18" s="8" t="inlineStr">
        <is>
          <t>테스트 촬영본, 촬영 진행 요청서</t>
        </is>
      </c>
      <c r="R18" s="8" t="inlineStr">
        <is>
          <t>1회성</t>
        </is>
      </c>
      <c r="S18" s="8" t="inlineStr">
        <is>
          <t>비정형(판단 필요)</t>
        </is>
      </c>
      <c r="T18" s="8" t="inlineStr">
        <is>
          <t>아마도 중복</t>
        </is>
      </c>
      <c r="U18" s="8" t="inlineStr">
        <is>
          <t>건물유형별 시공 촬영 가이드·촬영 자산 라이브러리 공용화</t>
        </is>
      </c>
    </row>
    <row r="19">
      <c r="A19" s="8" t="inlineStr">
        <is>
          <t>브랜드커머스</t>
        </is>
      </c>
      <c r="B19" s="8" t="inlineStr">
        <is>
          <t>김송희</t>
        </is>
      </c>
      <c r="C19" s="8" t="inlineStr">
        <is>
          <t>브랜드커머스, 모여라딜 리드</t>
        </is>
      </c>
      <c r="D19" s="57" t="n">
        <v>46245</v>
      </c>
      <c r="E19" s="8" t="inlineStr">
        <is>
          <t>화</t>
        </is>
      </c>
      <c r="F19" s="58" t="n">
        <v>0.5</v>
      </c>
      <c r="G19" s="58" t="n">
        <v>0.5416666666666666</v>
      </c>
      <c r="H19" s="7">
        <f>IF(OR(F19="",G19=""),"",(G19-F19)*1440)</f>
        <v/>
      </c>
      <c r="I19" s="8" t="inlineStr">
        <is>
          <t>기타·행정</t>
        </is>
      </c>
      <c r="J19" s="8" t="inlineStr">
        <is>
          <t>ETC-05 휴게·점심</t>
        </is>
      </c>
      <c r="K19" s="8" t="inlineStr">
        <is>
          <t>점심 및 휴게</t>
        </is>
      </c>
      <c r="L19" s="8" t="n"/>
      <c r="M19" s="8" t="n"/>
      <c r="O19" s="8" t="n"/>
      <c r="P19" s="8" t="n"/>
      <c r="Q19" s="8" t="n"/>
      <c r="R19" s="8" t="inlineStr">
        <is>
          <t>매일</t>
        </is>
      </c>
      <c r="S19" s="8" t="inlineStr">
        <is>
          <t>정형(매뉴얼화 가능)</t>
        </is>
      </c>
      <c r="T19" s="8" t="inlineStr">
        <is>
          <t>예 - 확실히 중복</t>
        </is>
      </c>
      <c r="U19" s="8" t="n"/>
    </row>
    <row r="20">
      <c r="A20" s="8" t="inlineStr">
        <is>
          <t>브랜드커머스</t>
        </is>
      </c>
      <c r="B20" s="8" t="inlineStr">
        <is>
          <t>김송희</t>
        </is>
      </c>
      <c r="C20" s="8" t="inlineStr">
        <is>
          <t>브랜드커머스, 모여라딜 리드</t>
        </is>
      </c>
      <c r="D20" s="57" t="n">
        <v>46245</v>
      </c>
      <c r="E20" s="8" t="inlineStr">
        <is>
          <t>화</t>
        </is>
      </c>
      <c r="F20" s="58" t="n">
        <v>0.5416666666666666</v>
      </c>
      <c r="G20" s="58" t="n">
        <v>0.5833333333333334</v>
      </c>
      <c r="H20" s="7">
        <f>IF(OR(F20="",G20=""),"",(G20-F20)*1440)</f>
        <v/>
      </c>
      <c r="I20" s="8" t="inlineStr">
        <is>
          <t>마케팅·광고운영</t>
        </is>
      </c>
      <c r="J20" s="8" t="inlineStr">
        <is>
          <t>MKT-04 인플루언서·체험단 섭외/관리</t>
        </is>
      </c>
      <c r="K20" s="8" t="inlineStr">
        <is>
          <t>채림님 인플루언서 협업마케팅 진행방향 안내 및 멘트 컨펌</t>
        </is>
      </c>
      <c r="L20" s="8" t="inlineStr">
        <is>
          <t>POUR스토어</t>
        </is>
      </c>
      <c r="M20" s="8" t="inlineStr">
        <is>
          <t>레뷰, 리뷰플레이스</t>
        </is>
      </c>
      <c r="N20" t="inlineStr">
        <is>
          <t>https://pourstorecrm.web.app/pour-os</t>
        </is>
      </c>
      <c r="O20" s="8" t="inlineStr">
        <is>
          <t>양채림</t>
        </is>
      </c>
      <c r="P20" s="8" t="inlineStr">
        <is>
          <t>인플루언서</t>
        </is>
      </c>
      <c r="Q20" s="8" t="inlineStr">
        <is>
          <t>협업 진행안 컨펌</t>
        </is>
      </c>
      <c r="R20" s="8" t="inlineStr">
        <is>
          <t>주 1회</t>
        </is>
      </c>
      <c r="S20" s="8" t="inlineStr">
        <is>
          <t>비정형(판단 필요)</t>
        </is>
      </c>
      <c r="T20" s="8" t="inlineStr">
        <is>
          <t>아마도 중복</t>
        </is>
      </c>
      <c r="U20" s="8" t="inlineStr">
        <is>
          <t>인플루언서 협업 진행 기준(가이드) 문서화 후 위임</t>
        </is>
      </c>
    </row>
    <row r="21">
      <c r="A21" s="8" t="inlineStr">
        <is>
          <t>브랜드커머스</t>
        </is>
      </c>
      <c r="B21" s="8" t="inlineStr">
        <is>
          <t>김송희</t>
        </is>
      </c>
      <c r="C21" s="8" t="inlineStr">
        <is>
          <t>브랜드커머스, 모여라딜 리드</t>
        </is>
      </c>
      <c r="D21" s="57" t="n">
        <v>46245</v>
      </c>
      <c r="E21" s="8" t="inlineStr">
        <is>
          <t>화</t>
        </is>
      </c>
      <c r="F21" s="58" t="n">
        <v>0.5833333333333334</v>
      </c>
      <c r="G21" s="58" t="n">
        <v>0.625</v>
      </c>
      <c r="H21" s="7">
        <f>IF(OR(F21="",G21=""),"",(G21-F21)*1440)</f>
        <v/>
      </c>
      <c r="I21" s="8" t="inlineStr">
        <is>
          <t>사내시스템·자동화</t>
        </is>
      </c>
      <c r="J21" s="8" t="inlineStr">
        <is>
          <t>SYS-01 사내 시스템·앱 기획/개선 요청</t>
        </is>
      </c>
      <c r="K21" s="8" t="inlineStr">
        <is>
          <t>소싱앱 UX/UI 개선 — 정하님 추가 고도화 건 2차 피드백</t>
        </is>
      </c>
      <c r="L21" s="8" t="inlineStr">
        <is>
          <t>소싱앱</t>
        </is>
      </c>
      <c r="M21" s="8" t="inlineStr">
        <is>
          <t>소싱앱</t>
        </is>
      </c>
      <c r="N21" t="inlineStr">
        <is>
          <t>소싱 관리 · 모여라딜 (moyeoradeal-sourcing.pages.dev)</t>
        </is>
      </c>
      <c r="O21" s="8" t="inlineStr">
        <is>
          <t>용정하</t>
        </is>
      </c>
      <c r="P21" s="8" t="n"/>
      <c r="Q21" s="8" t="inlineStr">
        <is>
          <t>UX/UI 2차 피드백</t>
        </is>
      </c>
      <c r="R21" s="8" t="inlineStr">
        <is>
          <t>주 2~3회</t>
        </is>
      </c>
      <c r="S21" s="8" t="inlineStr">
        <is>
          <t>비정형(판단 필요)</t>
        </is>
      </c>
      <c r="T21" s="8" t="inlineStr">
        <is>
          <t>모름</t>
        </is>
      </c>
      <c r="U21" s="8" t="inlineStr">
        <is>
          <t>개선 요청·피드백 이력을 앱 내 이슈보드로 관리</t>
        </is>
      </c>
    </row>
    <row r="22">
      <c r="A22" s="8" t="inlineStr">
        <is>
          <t>브랜드커머스</t>
        </is>
      </c>
      <c r="B22" s="8" t="inlineStr">
        <is>
          <t>김송희</t>
        </is>
      </c>
      <c r="C22" s="8" t="inlineStr">
        <is>
          <t>브랜드커머스, 모여라딜 리드</t>
        </is>
      </c>
      <c r="D22" s="57" t="n">
        <v>46245</v>
      </c>
      <c r="E22" s="8" t="inlineStr">
        <is>
          <t>화</t>
        </is>
      </c>
      <c r="F22" s="58" t="n">
        <v>0.625</v>
      </c>
      <c r="G22" s="58" t="n">
        <v>0.6458333333333334</v>
      </c>
      <c r="H22" s="7">
        <f>IF(OR(F22="",G22=""),"",(G22-F22)*1440)</f>
        <v/>
      </c>
      <c r="I22" s="8" t="inlineStr">
        <is>
          <t>상품기획·소싱</t>
        </is>
      </c>
      <c r="J22" s="8" t="inlineStr">
        <is>
          <t>PLN-01 신상품 아이템 발굴/시장조사</t>
        </is>
      </c>
      <c r="K22" s="8" t="inlineStr">
        <is>
          <t>부자재(롤링독) 판매 세팅 검토 — 우선순위 재조정으로 보류</t>
        </is>
      </c>
      <c r="L22" s="8" t="inlineStr">
        <is>
          <t>부자재·안전용품</t>
        </is>
      </c>
      <c r="M22" s="8" t="n"/>
      <c r="N22" t="inlineStr">
        <is>
          <t>https://pour-construction-form.pages.dev/pourstore-pricing-dashboard</t>
        </is>
      </c>
      <c r="O22" s="8" t="n"/>
      <c r="P22" s="8" t="n"/>
      <c r="Q22" s="8" t="inlineStr">
        <is>
          <t>판매 세팅 검토안(보류)</t>
        </is>
      </c>
      <c r="R22" s="8" t="inlineStr">
        <is>
          <t>분기/비정기</t>
        </is>
      </c>
      <c r="S22" s="8" t="inlineStr">
        <is>
          <t>비정형(판단 필요)</t>
        </is>
      </c>
      <c r="T22" s="8" t="inlineStr">
        <is>
          <t>아마도 중복</t>
        </is>
      </c>
      <c r="U22" s="8" t="inlineStr">
        <is>
          <t>부자재 카테고리 소싱 기준 정립 후 일괄 세팅</t>
        </is>
      </c>
    </row>
    <row r="23">
      <c r="A23" s="8" t="inlineStr">
        <is>
          <t>브랜드커머스</t>
        </is>
      </c>
      <c r="B23" s="8" t="inlineStr">
        <is>
          <t>김송희</t>
        </is>
      </c>
      <c r="C23" s="8" t="inlineStr">
        <is>
          <t>브랜드커머스, 모여라딜 리드</t>
        </is>
      </c>
      <c r="D23" s="57" t="n">
        <v>46245</v>
      </c>
      <c r="E23" s="8" t="inlineStr">
        <is>
          <t>화</t>
        </is>
      </c>
      <c r="F23" s="58" t="n">
        <v>0.6458333333333334</v>
      </c>
      <c r="G23" s="58" t="n">
        <v>0.6875</v>
      </c>
      <c r="H23" s="7">
        <f>IF(OR(F23="",G23=""),"",(G23-F23)*1440)</f>
        <v/>
      </c>
      <c r="I23" s="8" t="inlineStr">
        <is>
          <t>데이터·정산</t>
        </is>
      </c>
      <c r="J23" s="8" t="inlineStr">
        <is>
          <t>DAT-04 리포트·대시보드 작성</t>
        </is>
      </c>
      <c r="K23" s="8" t="inlineStr">
        <is>
          <t>POUR스토어 단가·공헌이익·손익계산 대시보드 제작 — 진행중(전주 이월)</t>
        </is>
      </c>
      <c r="L23" s="8" t="inlineStr">
        <is>
          <t>POUR스토어</t>
        </is>
      </c>
      <c r="M23" s="8" t="inlineStr">
        <is>
          <t>단가 대시보드, 엑셀</t>
        </is>
      </c>
      <c r="N23" t="inlineStr">
        <is>
          <t>POUR스토어 가격·마진 통합 대시보드 (pour-construction-form.pages.dev)</t>
        </is>
      </c>
      <c r="O23" s="8" t="n"/>
      <c r="P23" s="8" t="n"/>
      <c r="Q23" s="8" t="inlineStr">
        <is>
          <t>단가·공헌이익·손익 대시보드</t>
        </is>
      </c>
      <c r="R23" s="8" t="inlineStr">
        <is>
          <t>주 2~3회</t>
        </is>
      </c>
      <c r="S23" s="8" t="inlineStr">
        <is>
          <t>비정형(판단 필요)</t>
        </is>
      </c>
      <c r="T23" s="8" t="inlineStr">
        <is>
          <t>아마도 중복</t>
        </is>
      </c>
      <c r="U23" s="8" t="inlineStr">
        <is>
          <t>채널 수수료·원가 데이터 자동 연동으로 수기 입력 제거</t>
        </is>
      </c>
    </row>
    <row r="24">
      <c r="A24" s="8" t="inlineStr">
        <is>
          <t>브랜드커머스</t>
        </is>
      </c>
      <c r="B24" s="8" t="inlineStr">
        <is>
          <t>김송희</t>
        </is>
      </c>
      <c r="C24" s="8" t="inlineStr">
        <is>
          <t>브랜드커머스, 모여라딜 리드</t>
        </is>
      </c>
      <c r="D24" s="57" t="n">
        <v>46245</v>
      </c>
      <c r="E24" s="8" t="inlineStr">
        <is>
          <t>화</t>
        </is>
      </c>
      <c r="F24" s="58" t="n">
        <v>0.6875</v>
      </c>
      <c r="G24" s="58" t="n">
        <v>0.75</v>
      </c>
      <c r="H24" s="7">
        <f>IF(OR(F24="",G24=""),"",(G24-F24)*1440)</f>
        <v/>
      </c>
      <c r="I24" s="8" t="inlineStr">
        <is>
          <t>제조·생산관리</t>
        </is>
      </c>
      <c r="J24" s="8" t="inlineStr">
        <is>
          <t>MFG-08 MSDS·라벨 등 제품 표시사항 제작</t>
        </is>
      </c>
      <c r="K24" s="8" t="inlineStr">
        <is>
          <t>신제품 코트재 MSDS 컬러별 31개 제작 — 진행중</t>
        </is>
      </c>
      <c r="L24" s="8" t="inlineStr">
        <is>
          <t>코트재 신제품 31색</t>
        </is>
      </c>
      <c r="M24" s="8" t="inlineStr">
        <is>
          <t>챗지피티</t>
        </is>
      </c>
      <c r="O24" s="8" t="n"/>
      <c r="P24" s="8" t="inlineStr">
        <is>
          <t>세이고, 쿠팡물류센터</t>
        </is>
      </c>
      <c r="Q24" s="8" t="inlineStr">
        <is>
          <t>MSDS 31종</t>
        </is>
      </c>
      <c r="R24" s="8" t="inlineStr">
        <is>
          <t>1회성</t>
        </is>
      </c>
      <c r="S24" s="8" t="inlineStr">
        <is>
          <t>반정형</t>
        </is>
      </c>
      <c r="T24" s="8" t="inlineStr">
        <is>
          <t>아니오 - 우리팀 고유</t>
        </is>
      </c>
      <c r="U24" s="8" t="inlineStr">
        <is>
          <t>품목·색상 데이터 연동으로 MSDS 서식 자동 생성</t>
        </is>
      </c>
    </row>
    <row r="25">
      <c r="A25" s="8" t="inlineStr">
        <is>
          <t>브랜드커머스</t>
        </is>
      </c>
      <c r="B25" s="8" t="inlineStr">
        <is>
          <t>김송희</t>
        </is>
      </c>
      <c r="C25" s="8" t="inlineStr">
        <is>
          <t>브랜드커머스, 모여라딜 리드</t>
        </is>
      </c>
      <c r="D25" s="57" t="n">
        <v>46246</v>
      </c>
      <c r="E25" s="8" t="inlineStr">
        <is>
          <t>수</t>
        </is>
      </c>
      <c r="F25" s="58" t="n">
        <v>0.375</v>
      </c>
      <c r="G25" s="58" t="n">
        <v>0.3958333333333333</v>
      </c>
      <c r="H25" s="7">
        <f>IF(OR(F25="",G25=""),"",(G25-F25)*1440)</f>
        <v/>
      </c>
      <c r="I25" s="8" t="inlineStr">
        <is>
          <t>기타·행정</t>
        </is>
      </c>
      <c r="J25" s="8" t="inlineStr">
        <is>
          <t>ETC-01 메일·메신저 확인 및 회신</t>
        </is>
      </c>
      <c r="K25" s="8" t="inlineStr">
        <is>
          <t>출근 후 메일·메신저·업무보드 확인 및 회신</t>
        </is>
      </c>
      <c r="L25" s="8" t="inlineStr">
        <is>
          <t>전사</t>
        </is>
      </c>
      <c r="M25" s="8" t="inlineStr">
        <is>
          <t>CRM센터-POUR OS(업무보드)</t>
        </is>
      </c>
      <c r="N25" t="inlineStr">
        <is>
          <t>https://pourstorecrm.web.app/pour-os</t>
        </is>
      </c>
      <c r="O25" s="8" t="n"/>
      <c r="P25" s="8" t="n"/>
      <c r="Q25" s="8" t="inlineStr">
        <is>
          <t>회신 처리</t>
        </is>
      </c>
      <c r="R25" s="8" t="inlineStr">
        <is>
          <t>매일</t>
        </is>
      </c>
      <c r="S25" s="8" t="inlineStr">
        <is>
          <t>정형(매뉴얼화 가능)</t>
        </is>
      </c>
      <c r="T25" s="8" t="inlineStr">
        <is>
          <t>예 - 확실히 중복</t>
        </is>
      </c>
      <c r="U25" s="8" t="inlineStr">
        <is>
          <t>팀별 요청·공지를 업무보드 알림 하나로 일원화</t>
        </is>
      </c>
    </row>
    <row r="26">
      <c r="A26" s="8" t="inlineStr">
        <is>
          <t>브랜드커머스</t>
        </is>
      </c>
      <c r="B26" s="8" t="inlineStr">
        <is>
          <t>김송희</t>
        </is>
      </c>
      <c r="C26" s="8" t="inlineStr">
        <is>
          <t>브랜드커머스, 모여라딜 리드</t>
        </is>
      </c>
      <c r="D26" s="57" t="n">
        <v>46246</v>
      </c>
      <c r="E26" s="8" t="inlineStr">
        <is>
          <t>수</t>
        </is>
      </c>
      <c r="F26" s="58" t="n">
        <v>0.3958333333333333</v>
      </c>
      <c r="G26" s="58" t="n">
        <v>0.4375</v>
      </c>
      <c r="H26" s="7">
        <f>IF(OR(F26="",G26=""),"",(G26-F26)*1440)</f>
        <v/>
      </c>
      <c r="I26" s="8" t="inlineStr">
        <is>
          <t>파트너·대리점관리</t>
        </is>
      </c>
      <c r="J26" s="8" t="inlineStr">
        <is>
          <t>PTR-01 대리점·파트너사 방문·미팅</t>
        </is>
      </c>
      <c r="K26" s="8" t="inlineStr">
        <is>
          <t>부산 대리점 방문 준비 — 촬영물품 및 미팅·인터뷰 질문지 최종 확인</t>
        </is>
      </c>
      <c r="L26" s="8" t="inlineStr">
        <is>
          <t>대리점(가나랜드·경남지사)</t>
        </is>
      </c>
      <c r="M26" s="8" t="inlineStr">
        <is>
          <t>CRM센터-POUR OS(업무보드)</t>
        </is>
      </c>
      <c r="N26" t="inlineStr">
        <is>
          <t>https://pourstorecrm.web.app/pour-os</t>
        </is>
      </c>
      <c r="O26" s="8" t="inlineStr">
        <is>
          <t>이란</t>
        </is>
      </c>
      <c r="P26" s="8" t="inlineStr">
        <is>
          <t>가나랜드, 경남지사</t>
        </is>
      </c>
      <c r="Q26" s="8" t="inlineStr">
        <is>
          <t>방문 준비 체크리스트</t>
        </is>
      </c>
      <c r="R26" s="8" t="inlineStr">
        <is>
          <t>분기/비정기</t>
        </is>
      </c>
      <c r="S26" s="8" t="inlineStr">
        <is>
          <t>반정형</t>
        </is>
      </c>
      <c r="T26" s="8" t="inlineStr">
        <is>
          <t>모름</t>
        </is>
      </c>
      <c r="U26" s="8" t="inlineStr">
        <is>
          <t>대리점 방문 준비 체크리스트 표준화</t>
        </is>
      </c>
    </row>
    <row r="27">
      <c r="A27" s="8" t="inlineStr">
        <is>
          <t>브랜드커머스</t>
        </is>
      </c>
      <c r="B27" s="8" t="inlineStr">
        <is>
          <t>김송희</t>
        </is>
      </c>
      <c r="C27" s="8" t="inlineStr">
        <is>
          <t>브랜드커머스, 모여라딜 리드</t>
        </is>
      </c>
      <c r="D27" s="57" t="n">
        <v>46246</v>
      </c>
      <c r="E27" s="8" t="inlineStr">
        <is>
          <t>수</t>
        </is>
      </c>
      <c r="F27" s="58" t="n">
        <v>0.4375</v>
      </c>
      <c r="G27" s="58" t="n">
        <v>0.4791666666666667</v>
      </c>
      <c r="H27" s="7">
        <f>IF(OR(F27="",G27=""),"",(G27-F27)*1440)</f>
        <v/>
      </c>
      <c r="I27" s="8" t="inlineStr">
        <is>
          <t>마케팅·광고운영</t>
        </is>
      </c>
      <c r="J27" s="8" t="inlineStr">
        <is>
          <t>MKT-05 프로모션·기획전 기획</t>
        </is>
      </c>
      <c r="K27" s="8" t="inlineStr">
        <is>
          <t>스토어 8~10월 프로모션 기획안 검토 및 피드백(민지님)</t>
        </is>
      </c>
      <c r="L27" s="8" t="inlineStr">
        <is>
          <t>POUR스토어</t>
        </is>
      </c>
      <c r="M27" s="8" t="inlineStr">
        <is>
          <t>CRM센터-POUR OS(업무보드)</t>
        </is>
      </c>
      <c r="N27" t="inlineStr">
        <is>
          <t>https://pourstorecrm.web.app/pour-os</t>
        </is>
      </c>
      <c r="O27" s="8" t="inlineStr">
        <is>
          <t>김민지</t>
        </is>
      </c>
      <c r="P27" s="8" t="n"/>
      <c r="Q27" s="8" t="inlineStr">
        <is>
          <t>프로모션 기획 피드백</t>
        </is>
      </c>
      <c r="R27" s="8" t="inlineStr">
        <is>
          <t>월 1회</t>
        </is>
      </c>
      <c r="S27" s="8" t="inlineStr">
        <is>
          <t>반정형</t>
        </is>
      </c>
      <c r="T27" s="8" t="inlineStr">
        <is>
          <t>아마도 중복</t>
        </is>
      </c>
      <c r="U27" s="8" t="inlineStr">
        <is>
          <t>본부 공용 프로모션 캘린더로 3팀 일정·중복 방지</t>
        </is>
      </c>
    </row>
    <row r="28">
      <c r="A28" s="8" t="inlineStr">
        <is>
          <t>브랜드커머스</t>
        </is>
      </c>
      <c r="B28" s="8" t="inlineStr">
        <is>
          <t>김송희</t>
        </is>
      </c>
      <c r="C28" s="8" t="inlineStr">
        <is>
          <t>브랜드커머스, 모여라딜 리드</t>
        </is>
      </c>
      <c r="D28" s="57" t="n">
        <v>46246</v>
      </c>
      <c r="E28" s="8" t="inlineStr">
        <is>
          <t>수</t>
        </is>
      </c>
      <c r="F28" s="58" t="n">
        <v>0.4791666666666667</v>
      </c>
      <c r="G28" s="58" t="n">
        <v>0.5</v>
      </c>
      <c r="H28" s="7">
        <f>IF(OR(F28="",G28=""),"",(G28-F28)*1440)</f>
        <v/>
      </c>
      <c r="I28" s="8" t="inlineStr">
        <is>
          <t>마케팅·광고운영</t>
        </is>
      </c>
      <c r="J28" s="8" t="inlineStr">
        <is>
          <t>MKT-02 광고 성과 모니터링·최적화</t>
        </is>
      </c>
      <c r="K28" s="8" t="inlineStr">
        <is>
          <t>신제품(철재페인트) 키워드광고 상위노출 확인</t>
        </is>
      </c>
      <c r="L28" s="8" t="inlineStr">
        <is>
          <t>신제품 철재페인트 / 네이버</t>
        </is>
      </c>
      <c r="M28" s="8" t="inlineStr">
        <is>
          <t>네이버 검색, 검색광고 관리자</t>
        </is>
      </c>
      <c r="O28" s="8" t="n"/>
      <c r="P28" s="8" t="n"/>
      <c r="Q28" s="8" t="inlineStr">
        <is>
          <t>노출 순위 점검 메모</t>
        </is>
      </c>
      <c r="R28" s="8" t="inlineStr">
        <is>
          <t>주 2~3회</t>
        </is>
      </c>
      <c r="S28" s="8" t="inlineStr">
        <is>
          <t>정형(매뉴얼화 가능)</t>
        </is>
      </c>
      <c r="T28" s="8" t="inlineStr">
        <is>
          <t>예 - 확실히 중복</t>
        </is>
      </c>
      <c r="U28" s="8" t="inlineStr">
        <is>
          <t>키워드 순위 자동 추적 리포트로 대체</t>
        </is>
      </c>
    </row>
    <row r="29">
      <c r="A29" s="8" t="inlineStr">
        <is>
          <t>브랜드커머스</t>
        </is>
      </c>
      <c r="B29" s="8" t="inlineStr">
        <is>
          <t>김송희</t>
        </is>
      </c>
      <c r="C29" s="8" t="inlineStr">
        <is>
          <t>브랜드커머스, 모여라딜 리드</t>
        </is>
      </c>
      <c r="D29" s="57" t="n">
        <v>46246</v>
      </c>
      <c r="E29" s="8" t="inlineStr">
        <is>
          <t>수</t>
        </is>
      </c>
      <c r="F29" s="58" t="n">
        <v>0.5</v>
      </c>
      <c r="G29" s="58" t="n">
        <v>0.5416666666666666</v>
      </c>
      <c r="H29" s="7">
        <f>IF(OR(F29="",G29=""),"",(G29-F29)*1440)</f>
        <v/>
      </c>
      <c r="I29" s="8" t="inlineStr">
        <is>
          <t>기타·행정</t>
        </is>
      </c>
      <c r="J29" s="8" t="inlineStr">
        <is>
          <t>ETC-05 휴게·점심</t>
        </is>
      </c>
      <c r="K29" s="8" t="inlineStr">
        <is>
          <t>점심 및 휴게</t>
        </is>
      </c>
      <c r="L29" s="8" t="n"/>
      <c r="M29" s="8" t="n"/>
      <c r="O29" s="8" t="n"/>
      <c r="P29" s="8" t="n"/>
      <c r="Q29" s="8" t="n"/>
      <c r="R29" s="8" t="inlineStr">
        <is>
          <t>매일</t>
        </is>
      </c>
      <c r="S29" s="8" t="inlineStr">
        <is>
          <t>정형(매뉴얼화 가능)</t>
        </is>
      </c>
      <c r="T29" s="8" t="inlineStr">
        <is>
          <t>예 - 확실히 중복</t>
        </is>
      </c>
      <c r="U29" s="8" t="n"/>
    </row>
    <row r="30">
      <c r="A30" s="8" t="inlineStr">
        <is>
          <t>브랜드커머스</t>
        </is>
      </c>
      <c r="B30" s="8" t="inlineStr">
        <is>
          <t>김송희</t>
        </is>
      </c>
      <c r="C30" s="8" t="inlineStr">
        <is>
          <t>브랜드커머스, 모여라딜 리드</t>
        </is>
      </c>
      <c r="D30" s="57" t="n">
        <v>46246</v>
      </c>
      <c r="E30" s="8" t="inlineStr">
        <is>
          <t>수</t>
        </is>
      </c>
      <c r="F30" s="58" t="n">
        <v>0.5416666666666666</v>
      </c>
      <c r="G30" s="58" t="n">
        <v>0.5833333333333334</v>
      </c>
      <c r="H30" s="7">
        <f>IF(OR(F30="",G30=""),"",(G30-F30)*1440)</f>
        <v/>
      </c>
      <c r="I30" s="8" t="inlineStr">
        <is>
          <t>기획·보고·회의</t>
        </is>
      </c>
      <c r="J30" s="8" t="inlineStr">
        <is>
          <t>MGT-06 팀원 업무·산출물 검토·피드백</t>
        </is>
      </c>
      <c r="K30" s="8" t="inlineStr">
        <is>
          <t>AX+업무리스트 보고서 검토 및 피드백(정하님)</t>
        </is>
      </c>
      <c r="L30" s="8" t="inlineStr">
        <is>
          <t>팀 업무관리</t>
        </is>
      </c>
      <c r="M30" s="8" t="inlineStr">
        <is>
          <t>CRM센터-POUR OS(업무보드)</t>
        </is>
      </c>
      <c r="N30" t="inlineStr">
        <is>
          <t>https://pourstorecrm.web.app/pour-os</t>
        </is>
      </c>
      <c r="O30" s="8" t="inlineStr">
        <is>
          <t>용정하</t>
        </is>
      </c>
      <c r="P30" s="8" t="n"/>
      <c r="Q30" s="8" t="inlineStr">
        <is>
          <t>검토 피드백</t>
        </is>
      </c>
      <c r="R30" s="8" t="inlineStr">
        <is>
          <t>주 1회</t>
        </is>
      </c>
      <c r="S30" s="8" t="inlineStr">
        <is>
          <t>비정형(판단 필요)</t>
        </is>
      </c>
      <c r="T30" s="8" t="inlineStr">
        <is>
          <t>아마도 중복</t>
        </is>
      </c>
      <c r="U30" s="8" t="inlineStr">
        <is>
          <t>업무보드 데이터 자동 집계로 보고서 수기작성 제거</t>
        </is>
      </c>
    </row>
    <row r="31">
      <c r="A31" s="8" t="inlineStr">
        <is>
          <t>브랜드커머스</t>
        </is>
      </c>
      <c r="B31" s="8" t="inlineStr">
        <is>
          <t>김송희</t>
        </is>
      </c>
      <c r="C31" s="8" t="inlineStr">
        <is>
          <t>브랜드커머스, 모여라딜 리드</t>
        </is>
      </c>
      <c r="D31" s="57" t="n">
        <v>46246</v>
      </c>
      <c r="E31" s="8" t="inlineStr">
        <is>
          <t>수</t>
        </is>
      </c>
      <c r="F31" s="58" t="n">
        <v>0.5833333333333334</v>
      </c>
      <c r="G31" s="58" t="n">
        <v>0.6041666666666666</v>
      </c>
      <c r="H31" s="7">
        <f>IF(OR(F31="",G31=""),"",(G31-F31)*1440)</f>
        <v/>
      </c>
      <c r="I31" s="8" t="inlineStr">
        <is>
          <t>기획·보고·회의</t>
        </is>
      </c>
      <c r="J31" s="8" t="inlineStr">
        <is>
          <t>MGT-06 팀원 업무·산출물 검토·피드백</t>
        </is>
      </c>
      <c r="K31" s="8" t="inlineStr">
        <is>
          <t>AX+업무리스트 보고서 검토 및 피드백(채림님)</t>
        </is>
      </c>
      <c r="L31" s="8" t="inlineStr">
        <is>
          <t>팀 업무관리</t>
        </is>
      </c>
      <c r="M31" s="8" t="inlineStr">
        <is>
          <t>CRM센터-POUR OS(업무보드)</t>
        </is>
      </c>
      <c r="N31" t="inlineStr">
        <is>
          <t>https://pourstorecrm.web.app/pour-os</t>
        </is>
      </c>
      <c r="O31" s="8" t="inlineStr">
        <is>
          <t>양채림</t>
        </is>
      </c>
      <c r="P31" s="8" t="n"/>
      <c r="Q31" s="8" t="inlineStr">
        <is>
          <t>검토 피드백</t>
        </is>
      </c>
      <c r="R31" s="8" t="inlineStr">
        <is>
          <t>주 1회</t>
        </is>
      </c>
      <c r="S31" s="8" t="inlineStr">
        <is>
          <t>비정형(판단 필요)</t>
        </is>
      </c>
      <c r="T31" s="8" t="inlineStr">
        <is>
          <t>아마도 중복</t>
        </is>
      </c>
      <c r="U31" s="8" t="inlineStr">
        <is>
          <t>업무보드 데이터 자동 집계로 보고서 수기작성 제거</t>
        </is>
      </c>
    </row>
    <row r="32">
      <c r="A32" s="8" t="inlineStr">
        <is>
          <t>브랜드커머스</t>
        </is>
      </c>
      <c r="B32" s="8" t="inlineStr">
        <is>
          <t>김송희</t>
        </is>
      </c>
      <c r="C32" s="8" t="inlineStr">
        <is>
          <t>브랜드커머스, 모여라딜 리드</t>
        </is>
      </c>
      <c r="D32" s="57" t="n">
        <v>46246</v>
      </c>
      <c r="E32" s="8" t="inlineStr">
        <is>
          <t>수</t>
        </is>
      </c>
      <c r="F32" s="58" t="n">
        <v>0.6041666666666666</v>
      </c>
      <c r="G32" s="58" t="n">
        <v>0.6458333333333334</v>
      </c>
      <c r="H32" s="7">
        <f>IF(OR(F32="",G32=""),"",(G32-F32)*1440)</f>
        <v/>
      </c>
      <c r="I32" s="8" t="inlineStr">
        <is>
          <t>기획·보고·회의</t>
        </is>
      </c>
      <c r="J32" s="8" t="inlineStr">
        <is>
          <t>MGT-07 업무 인수인계·이관</t>
        </is>
      </c>
      <c r="K32" s="8" t="inlineStr">
        <is>
          <t>그로홈 업무 인수인계 받음 — 담당 범위·진행건 확인</t>
        </is>
      </c>
      <c r="L32" s="8" t="inlineStr">
        <is>
          <t>그로홈</t>
        </is>
      </c>
      <c r="M32" s="8" t="inlineStr">
        <is>
          <t>CRM센터-POUR OS(업무보드)</t>
        </is>
      </c>
      <c r="N32" t="inlineStr">
        <is>
          <t>https://pourstorecrm.web.app/pour-os</t>
        </is>
      </c>
      <c r="O32" s="8" t="n"/>
      <c r="P32" s="8" t="n"/>
      <c r="Q32" s="8" t="inlineStr">
        <is>
          <t>인수인계 항목 정리</t>
        </is>
      </c>
      <c r="R32" s="8" t="inlineStr">
        <is>
          <t>1회성</t>
        </is>
      </c>
      <c r="S32" s="8" t="inlineStr">
        <is>
          <t>비정형(판단 필요)</t>
        </is>
      </c>
      <c r="T32" s="8" t="inlineStr">
        <is>
          <t>모름</t>
        </is>
      </c>
      <c r="U32" s="8" t="inlineStr">
        <is>
          <t>인수인계 체크리스트·담당 매핑표 상시 관리</t>
        </is>
      </c>
    </row>
    <row r="33">
      <c r="A33" s="8" t="inlineStr">
        <is>
          <t>브랜드커머스</t>
        </is>
      </c>
      <c r="B33" s="8" t="inlineStr">
        <is>
          <t>김송희</t>
        </is>
      </c>
      <c r="C33" s="8" t="inlineStr">
        <is>
          <t>브랜드커머스, 모여라딜 리드</t>
        </is>
      </c>
      <c r="D33" s="57" t="n">
        <v>46246</v>
      </c>
      <c r="E33" s="8" t="inlineStr">
        <is>
          <t>수</t>
        </is>
      </c>
      <c r="F33" s="58" t="n">
        <v>0.6458333333333334</v>
      </c>
      <c r="G33" s="58" t="n">
        <v>0.6875</v>
      </c>
      <c r="H33" s="7">
        <f>IF(OR(F33="",G33=""),"",(G33-F33)*1440)</f>
        <v/>
      </c>
      <c r="I33" s="8" t="inlineStr">
        <is>
          <t>콘텐츠제작</t>
        </is>
      </c>
      <c r="J33" s="8" t="inlineStr">
        <is>
          <t>CNT-07 카탈로그·영업자료 제작</t>
        </is>
      </c>
      <c r="K33" s="8" t="inlineStr">
        <is>
          <t>부자재 소개 카달로그 제작</t>
        </is>
      </c>
      <c r="L33" s="8" t="inlineStr">
        <is>
          <t>부자재</t>
        </is>
      </c>
      <c r="M33" s="8" t="n"/>
      <c r="O33" s="8" t="n"/>
      <c r="P33" s="8" t="n"/>
      <c r="Q33" s="8" t="inlineStr">
        <is>
          <t>부자재 소개 카달로그</t>
        </is>
      </c>
      <c r="R33" s="8" t="inlineStr">
        <is>
          <t>1회성</t>
        </is>
      </c>
      <c r="S33" s="8" t="inlineStr">
        <is>
          <t>반정형</t>
        </is>
      </c>
      <c r="T33" s="8" t="inlineStr">
        <is>
          <t>아마도 중복</t>
        </is>
      </c>
      <c r="U33" s="8" t="inlineStr">
        <is>
          <t>상품 마스터 데이터로 카달로그 자동 생성</t>
        </is>
      </c>
    </row>
    <row r="34">
      <c r="A34" s="8" t="inlineStr">
        <is>
          <t>브랜드커머스</t>
        </is>
      </c>
      <c r="B34" s="8" t="inlineStr">
        <is>
          <t>김송희</t>
        </is>
      </c>
      <c r="C34" s="8" t="inlineStr">
        <is>
          <t>브랜드커머스, 모여라딜 리드</t>
        </is>
      </c>
      <c r="D34" s="57" t="n">
        <v>46246</v>
      </c>
      <c r="E34" s="8" t="inlineStr">
        <is>
          <t>수</t>
        </is>
      </c>
      <c r="F34" s="58" t="n">
        <v>0.6875</v>
      </c>
      <c r="G34" s="58" t="n">
        <v>0.7291666666666666</v>
      </c>
      <c r="H34" s="7">
        <f>IF(OR(F34="",G34=""),"",(G34-F34)*1440)</f>
        <v/>
      </c>
      <c r="I34" s="8" t="inlineStr">
        <is>
          <t>데이터·정산</t>
        </is>
      </c>
      <c r="J34" s="8" t="inlineStr">
        <is>
          <t>DAT-04 리포트·대시보드 작성</t>
        </is>
      </c>
      <c r="K34" s="8" t="inlineStr">
        <is>
          <t>POUR스토어 단가·공헌이익·손익계산 대시보드 제작 — 진행중</t>
        </is>
      </c>
      <c r="L34" s="8" t="inlineStr">
        <is>
          <t>POUR스토어</t>
        </is>
      </c>
      <c r="M34" s="8" t="inlineStr">
        <is>
          <t>단가 대시보드, 엑셀</t>
        </is>
      </c>
      <c r="N34" t="inlineStr">
        <is>
          <t>POUR스토어 가격·마진 통합 대시보드 (pour-construction-form.pages.dev)</t>
        </is>
      </c>
      <c r="O34" s="8" t="n"/>
      <c r="P34" s="8" t="n"/>
      <c r="Q34" s="8" t="inlineStr">
        <is>
          <t>단가·공헌이익·손익 대시보드</t>
        </is>
      </c>
      <c r="R34" s="8" t="inlineStr">
        <is>
          <t>주 2~3회</t>
        </is>
      </c>
      <c r="S34" s="8" t="inlineStr">
        <is>
          <t>비정형(판단 필요)</t>
        </is>
      </c>
      <c r="T34" s="8" t="inlineStr">
        <is>
          <t>아마도 중복</t>
        </is>
      </c>
      <c r="U34" s="8" t="inlineStr">
        <is>
          <t>채널 수수료·원가 데이터 자동 연동으로 수기 입력 제거</t>
        </is>
      </c>
    </row>
    <row r="35">
      <c r="A35" s="8" t="inlineStr">
        <is>
          <t>브랜드커머스</t>
        </is>
      </c>
      <c r="B35" s="8" t="inlineStr">
        <is>
          <t>김송희</t>
        </is>
      </c>
      <c r="C35" s="8" t="inlineStr">
        <is>
          <t>브랜드커머스, 모여라딜 리드</t>
        </is>
      </c>
      <c r="D35" s="57" t="n">
        <v>46246</v>
      </c>
      <c r="E35" s="8" t="inlineStr">
        <is>
          <t>수</t>
        </is>
      </c>
      <c r="F35" s="58" t="n">
        <v>0.7291666666666666</v>
      </c>
      <c r="G35" s="58" t="n">
        <v>0.75</v>
      </c>
      <c r="H35" s="7">
        <f>IF(OR(F35="",G35=""),"",(G35-F35)*1440)</f>
        <v/>
      </c>
      <c r="I35" s="8" t="inlineStr">
        <is>
          <t>제조·생산관리</t>
        </is>
      </c>
      <c r="J35" s="8" t="inlineStr">
        <is>
          <t>MFG-08 MSDS·라벨 등 제품 표시사항 제작</t>
        </is>
      </c>
      <c r="K35" s="8" t="inlineStr">
        <is>
          <t>신제품 코트재 MSDS 컬러별 31개 제작 — 진행중</t>
        </is>
      </c>
      <c r="L35" s="8" t="inlineStr">
        <is>
          <t>코트재 신제품 31색</t>
        </is>
      </c>
      <c r="M35" s="8" t="inlineStr">
        <is>
          <t>챗지피티</t>
        </is>
      </c>
      <c r="O35" s="8" t="n"/>
      <c r="P35" s="8" t="inlineStr">
        <is>
          <t>세이고, 쿠팡물류센터</t>
        </is>
      </c>
      <c r="Q35" s="8" t="inlineStr">
        <is>
          <t>MSDS 31종</t>
        </is>
      </c>
      <c r="R35" s="8" t="inlineStr">
        <is>
          <t>1회성</t>
        </is>
      </c>
      <c r="S35" s="8" t="inlineStr">
        <is>
          <t>반정형</t>
        </is>
      </c>
      <c r="T35" s="8" t="inlineStr">
        <is>
          <t>아니오 - 우리팀 고유</t>
        </is>
      </c>
      <c r="U35" s="8" t="inlineStr">
        <is>
          <t>품목·색상 데이터 연동으로 MSDS 서식 자동 생성</t>
        </is>
      </c>
    </row>
    <row r="36">
      <c r="A36" s="8" t="inlineStr">
        <is>
          <t>브랜드커머스</t>
        </is>
      </c>
      <c r="B36" s="8" t="inlineStr">
        <is>
          <t>김송희</t>
        </is>
      </c>
      <c r="C36" s="8" t="inlineStr">
        <is>
          <t>브랜드커머스, 모여라딜 리드</t>
        </is>
      </c>
      <c r="D36" s="57" t="n">
        <v>46247</v>
      </c>
      <c r="E36" s="8" t="inlineStr">
        <is>
          <t>목</t>
        </is>
      </c>
      <c r="F36" s="58" t="n">
        <v>0.375</v>
      </c>
      <c r="G36" s="58" t="n">
        <v>0.3958333333333333</v>
      </c>
      <c r="H36" s="7">
        <f>IF(OR(F36="",G36=""),"",(G36-F36)*1440)</f>
        <v/>
      </c>
      <c r="I36" s="8" t="inlineStr">
        <is>
          <t>기타·행정</t>
        </is>
      </c>
      <c r="J36" s="8" t="inlineStr">
        <is>
          <t>ETC-01 메일·메신저 확인 및 회신</t>
        </is>
      </c>
      <c r="K36" s="8" t="inlineStr">
        <is>
          <t>출근 후 메일·메신저·업무보드 확인 및 회신</t>
        </is>
      </c>
      <c r="L36" s="8" t="inlineStr">
        <is>
          <t>전사</t>
        </is>
      </c>
      <c r="M36" s="8" t="inlineStr">
        <is>
          <t>CRM센터-POUR OS(업무보드)</t>
        </is>
      </c>
      <c r="N36" t="inlineStr">
        <is>
          <t>https://pourstorecrm.web.app/pour-os</t>
        </is>
      </c>
      <c r="O36" s="8" t="n"/>
      <c r="P36" s="8" t="n"/>
      <c r="Q36" s="8" t="inlineStr">
        <is>
          <t>회신 처리</t>
        </is>
      </c>
      <c r="R36" s="8" t="inlineStr">
        <is>
          <t>매일</t>
        </is>
      </c>
      <c r="S36" s="8" t="inlineStr">
        <is>
          <t>정형(매뉴얼화 가능)</t>
        </is>
      </c>
      <c r="T36" s="8" t="inlineStr">
        <is>
          <t>예 - 확실히 중복</t>
        </is>
      </c>
      <c r="U36" s="8" t="inlineStr">
        <is>
          <t>팀별 요청·공지를 업무보드 알림 하나로 일원화</t>
        </is>
      </c>
    </row>
    <row r="37">
      <c r="A37" s="8" t="inlineStr">
        <is>
          <t>브랜드커머스</t>
        </is>
      </c>
      <c r="B37" s="8" t="inlineStr">
        <is>
          <t>김송희</t>
        </is>
      </c>
      <c r="C37" s="8" t="inlineStr">
        <is>
          <t>브랜드커머스, 모여라딜 리드</t>
        </is>
      </c>
      <c r="D37" s="57" t="n">
        <v>46247</v>
      </c>
      <c r="E37" s="8" t="inlineStr">
        <is>
          <t>목</t>
        </is>
      </c>
      <c r="F37" s="58" t="n">
        <v>0.3958333333333333</v>
      </c>
      <c r="G37" s="58" t="n">
        <v>0.4375</v>
      </c>
      <c r="H37" s="7">
        <f>IF(OR(F37="",G37=""),"",(G37-F37)*1440)</f>
        <v/>
      </c>
      <c r="I37" s="8" t="inlineStr">
        <is>
          <t>마케팅·광고운영</t>
        </is>
      </c>
      <c r="J37" s="8" t="inlineStr">
        <is>
          <t>MKT-08 제휴마케팅(링크프라이스 등) 운영·성과확인</t>
        </is>
      </c>
      <c r="K37" s="8" t="inlineStr">
        <is>
          <t>링크프라이스 네이버쇼핑·파워링크 주간보고 수령 → 본부장님 보고 → 보성님 인계</t>
        </is>
      </c>
      <c r="L37" s="8" t="inlineStr">
        <is>
          <t>POUR스토어 / 네이버쇼핑·파워링크</t>
        </is>
      </c>
      <c r="M37" s="8" t="inlineStr">
        <is>
          <t>링크프라이스 관리자</t>
        </is>
      </c>
      <c r="O37" s="8" t="inlineStr">
        <is>
          <t>본부장, 보성님</t>
        </is>
      </c>
      <c r="P37" s="8" t="inlineStr">
        <is>
          <t>링크프라이스</t>
        </is>
      </c>
      <c r="Q37" s="8" t="inlineStr">
        <is>
          <t>제휴·검색광고 주간보고</t>
        </is>
      </c>
      <c r="R37" s="8" t="inlineStr">
        <is>
          <t>주 1회</t>
        </is>
      </c>
      <c r="S37" s="8" t="inlineStr">
        <is>
          <t>정형(매뉴얼화 가능)</t>
        </is>
      </c>
      <c r="T37" s="8" t="inlineStr">
        <is>
          <t>예 - 확실히 중복</t>
        </is>
      </c>
      <c r="U37" s="8" t="inlineStr">
        <is>
          <t>주간보고 자동 생성 후 공유(수령→전달 단계 제거)</t>
        </is>
      </c>
    </row>
    <row r="38">
      <c r="A38" s="8" t="inlineStr">
        <is>
          <t>브랜드커머스</t>
        </is>
      </c>
      <c r="B38" s="8" t="inlineStr">
        <is>
          <t>김송희</t>
        </is>
      </c>
      <c r="C38" s="8" t="inlineStr">
        <is>
          <t>브랜드커머스, 모여라딜 리드</t>
        </is>
      </c>
      <c r="D38" s="57" t="n">
        <v>46247</v>
      </c>
      <c r="E38" s="8" t="inlineStr">
        <is>
          <t>목</t>
        </is>
      </c>
      <c r="F38" s="58" t="n">
        <v>0.4375</v>
      </c>
      <c r="G38" s="58" t="n">
        <v>0.4791666666666667</v>
      </c>
      <c r="H38" s="7">
        <f>IF(OR(F38="",G38=""),"",(G38-F38)*1440)</f>
        <v/>
      </c>
      <c r="I38" s="8" t="inlineStr">
        <is>
          <t>기타·행정</t>
        </is>
      </c>
      <c r="J38" s="8" t="inlineStr">
        <is>
          <t>ETC-02 행정·경비·구매 처리</t>
        </is>
      </c>
      <c r="K38" s="8" t="inlineStr">
        <is>
          <t>씰맥스프로 결제 처리 및 세이고 입고내역 자료 송부(김성준 공장장님께)</t>
        </is>
      </c>
      <c r="L38" s="8" t="inlineStr">
        <is>
          <t>씰맥스프로 / 세이고</t>
        </is>
      </c>
      <c r="M38" s="8" t="n"/>
      <c r="O38" s="8" t="inlineStr">
        <is>
          <t>김성준 공장장</t>
        </is>
      </c>
      <c r="P38" s="8" t="inlineStr">
        <is>
          <t>세이고</t>
        </is>
      </c>
      <c r="Q38" s="8" t="inlineStr">
        <is>
          <t>결제 완료·입고내역 자료</t>
        </is>
      </c>
      <c r="R38" s="8" t="inlineStr">
        <is>
          <t>주 1회</t>
        </is>
      </c>
      <c r="S38" s="8" t="inlineStr">
        <is>
          <t>정형(매뉴얼화 가능)</t>
        </is>
      </c>
      <c r="T38" s="8" t="inlineStr">
        <is>
          <t>아마도 중복</t>
        </is>
      </c>
      <c r="U38" s="8" t="inlineStr">
        <is>
          <t>결제·입고내역 자동 정산 시트 연동</t>
        </is>
      </c>
    </row>
    <row r="39">
      <c r="A39" s="8" t="inlineStr">
        <is>
          <t>브랜드커머스</t>
        </is>
      </c>
      <c r="B39" s="8" t="inlineStr">
        <is>
          <t>김송희</t>
        </is>
      </c>
      <c r="C39" s="8" t="inlineStr">
        <is>
          <t>브랜드커머스, 모여라딜 리드</t>
        </is>
      </c>
      <c r="D39" s="57" t="n">
        <v>46247</v>
      </c>
      <c r="E39" s="8" t="inlineStr">
        <is>
          <t>목</t>
        </is>
      </c>
      <c r="F39" s="58" t="n">
        <v>0.4791666666666667</v>
      </c>
      <c r="G39" s="58" t="n">
        <v>0.5</v>
      </c>
      <c r="H39" s="7">
        <f>IF(OR(F39="",G39=""),"",(G39-F39)*1440)</f>
        <v/>
      </c>
      <c r="I39" s="8" t="inlineStr">
        <is>
          <t>기획·보고·회의</t>
        </is>
      </c>
      <c r="J39" s="8" t="inlineStr">
        <is>
          <t>MGT-06 팀원 업무·산출물 검토·피드백</t>
        </is>
      </c>
      <c r="K39" s="8" t="inlineStr">
        <is>
          <t>정하님 업무정리 리스트 검토</t>
        </is>
      </c>
      <c r="L39" s="8" t="inlineStr">
        <is>
          <t>팀 업무관리</t>
        </is>
      </c>
      <c r="M39" s="8" t="inlineStr">
        <is>
          <t>CRM센터-POUR OS(업무보드)</t>
        </is>
      </c>
      <c r="N39" t="inlineStr">
        <is>
          <t>https://pourstorecrm.web.app/pour-os</t>
        </is>
      </c>
      <c r="O39" s="8" t="inlineStr">
        <is>
          <t>용정하</t>
        </is>
      </c>
      <c r="P39" s="8" t="n"/>
      <c r="Q39" s="8" t="inlineStr">
        <is>
          <t>검토 의견</t>
        </is>
      </c>
      <c r="R39" s="8" t="inlineStr">
        <is>
          <t>주 1회</t>
        </is>
      </c>
      <c r="S39" s="8" t="inlineStr">
        <is>
          <t>비정형(판단 필요)</t>
        </is>
      </c>
      <c r="T39" s="8" t="inlineStr">
        <is>
          <t>아마도 중복</t>
        </is>
      </c>
      <c r="U39" s="8" t="inlineStr">
        <is>
          <t>업무보드 데이터 자동 집계로 대체</t>
        </is>
      </c>
    </row>
    <row r="40">
      <c r="A40" s="8" t="inlineStr">
        <is>
          <t>브랜드커머스</t>
        </is>
      </c>
      <c r="B40" s="8" t="inlineStr">
        <is>
          <t>김송희</t>
        </is>
      </c>
      <c r="C40" s="8" t="inlineStr">
        <is>
          <t>브랜드커머스, 모여라딜 리드</t>
        </is>
      </c>
      <c r="D40" s="57" t="n">
        <v>46247</v>
      </c>
      <c r="E40" s="8" t="inlineStr">
        <is>
          <t>목</t>
        </is>
      </c>
      <c r="F40" s="58" t="n">
        <v>0.5</v>
      </c>
      <c r="G40" s="58" t="n">
        <v>0.5416666666666666</v>
      </c>
      <c r="H40" s="7">
        <f>IF(OR(F40="",G40=""),"",(G40-F40)*1440)</f>
        <v/>
      </c>
      <c r="I40" s="8" t="inlineStr">
        <is>
          <t>기타·행정</t>
        </is>
      </c>
      <c r="J40" s="8" t="inlineStr">
        <is>
          <t>ETC-05 휴게·점심</t>
        </is>
      </c>
      <c r="K40" s="8" t="inlineStr">
        <is>
          <t>점심 및 휴게</t>
        </is>
      </c>
      <c r="L40" s="8" t="n"/>
      <c r="M40" s="8" t="n"/>
      <c r="O40" s="8" t="n"/>
      <c r="P40" s="8" t="n"/>
      <c r="Q40" s="8" t="n"/>
      <c r="R40" s="8" t="inlineStr">
        <is>
          <t>매일</t>
        </is>
      </c>
      <c r="S40" s="8" t="inlineStr">
        <is>
          <t>정형(매뉴얼화 가능)</t>
        </is>
      </c>
      <c r="T40" s="8" t="inlineStr">
        <is>
          <t>예 - 확실히 중복</t>
        </is>
      </c>
      <c r="U40" s="8" t="n"/>
    </row>
    <row r="41">
      <c r="A41" s="8" t="inlineStr">
        <is>
          <t>브랜드커머스</t>
        </is>
      </c>
      <c r="B41" s="8" t="inlineStr">
        <is>
          <t>김송희</t>
        </is>
      </c>
      <c r="C41" s="8" t="inlineStr">
        <is>
          <t>브랜드커머스, 모여라딜 리드</t>
        </is>
      </c>
      <c r="D41" s="57" t="n">
        <v>46247</v>
      </c>
      <c r="E41" s="8" t="inlineStr">
        <is>
          <t>목</t>
        </is>
      </c>
      <c r="F41" s="58" t="n">
        <v>0.5416666666666666</v>
      </c>
      <c r="G41" s="58" t="n">
        <v>0.6041666666666666</v>
      </c>
      <c r="H41" s="7">
        <f>IF(OR(F41="",G41=""),"",(G41-F41)*1440)</f>
        <v/>
      </c>
      <c r="I41" s="8" t="inlineStr">
        <is>
          <t>마케팅·광고운영</t>
        </is>
      </c>
      <c r="J41" s="8" t="inlineStr">
        <is>
          <t>MKT-04 인플루언서·체험단 섭외/관리</t>
        </is>
      </c>
      <c r="K41" s="8" t="inlineStr">
        <is>
          <t>채림님 퍼포먼스마케팅 진행 방안(①직판 ②대리점·파트너사 2트랙 바이럴) 안내 및 매체·대행사 시장조사 요청</t>
        </is>
      </c>
      <c r="L41" s="8" t="inlineStr">
        <is>
          <t>POUR스토어 / 블로그·유튜브·카페·인스타</t>
        </is>
      </c>
      <c r="M41" s="8" t="inlineStr">
        <is>
          <t>레뷰, 리뷰플레이스</t>
        </is>
      </c>
      <c r="N41" t="inlineStr">
        <is>
          <t>https://pourstorecrm.web.app/pour-os</t>
        </is>
      </c>
      <c r="O41" s="8" t="inlineStr">
        <is>
          <t>양채림</t>
        </is>
      </c>
      <c r="P41" s="8" t="inlineStr">
        <is>
          <t>인플루언서, 바이럴 대행사(레뷰 등)</t>
        </is>
      </c>
      <c r="Q41" s="8" t="inlineStr">
        <is>
          <t>진행 방안 안내·시장조사 요청서</t>
        </is>
      </c>
      <c r="R41" s="8" t="inlineStr">
        <is>
          <t>주 1회</t>
        </is>
      </c>
      <c r="S41" s="8" t="inlineStr">
        <is>
          <t>비정형(판단 필요)</t>
        </is>
      </c>
      <c r="T41" s="8" t="inlineStr">
        <is>
          <t>아마도 중복</t>
        </is>
      </c>
      <c r="U41" s="8" t="inlineStr">
        <is>
          <t>바이럴 매체·대행사 후보 DB 공용화</t>
        </is>
      </c>
    </row>
    <row r="42">
      <c r="A42" s="8" t="inlineStr">
        <is>
          <t>브랜드커머스</t>
        </is>
      </c>
      <c r="B42" s="8" t="inlineStr">
        <is>
          <t>김송희</t>
        </is>
      </c>
      <c r="C42" s="8" t="inlineStr">
        <is>
          <t>브랜드커머스, 모여라딜 리드</t>
        </is>
      </c>
      <c r="D42" s="57" t="n">
        <v>46247</v>
      </c>
      <c r="E42" s="8" t="inlineStr">
        <is>
          <t>목</t>
        </is>
      </c>
      <c r="F42" s="58" t="n">
        <v>0.6041666666666666</v>
      </c>
      <c r="G42" s="58" t="n">
        <v>0.6458333333333334</v>
      </c>
      <c r="H42" s="7">
        <f>IF(OR(F42="",G42=""),"",(G42-F42)*1440)</f>
        <v/>
      </c>
      <c r="I42" s="8" t="inlineStr">
        <is>
          <t>채널·스토어운영</t>
        </is>
      </c>
      <c r="J42" s="8" t="inlineStr">
        <is>
          <t>CHN-03 자사몰 운영·관리</t>
        </is>
      </c>
      <c r="K42" s="8" t="inlineStr">
        <is>
          <t>자사몰 회원 등급별 구매가능 상품 확인 페이지 제작 및 랜딩 링크 삽입 요청</t>
        </is>
      </c>
      <c r="L42" s="8" t="inlineStr">
        <is>
          <t>POUR스토어 자사몰</t>
        </is>
      </c>
      <c r="M42" s="8" t="inlineStr">
        <is>
          <t>자사몰 관리자</t>
        </is>
      </c>
      <c r="O42" s="8" t="n"/>
      <c r="P42" s="8" t="n"/>
      <c r="Q42" s="8" t="inlineStr">
        <is>
          <t>등급별 구매가능 페이지 요청서</t>
        </is>
      </c>
      <c r="R42" s="8" t="inlineStr">
        <is>
          <t>1회성</t>
        </is>
      </c>
      <c r="S42" s="8" t="inlineStr">
        <is>
          <t>반정형</t>
        </is>
      </c>
      <c r="T42" s="8" t="inlineStr">
        <is>
          <t>모름</t>
        </is>
      </c>
      <c r="U42" s="8" t="inlineStr">
        <is>
          <t>회원등급·판매권한 데이터 연동으로 페이지 자동 생성</t>
        </is>
      </c>
    </row>
    <row r="43">
      <c r="A43" s="8" t="inlineStr">
        <is>
          <t>브랜드커머스</t>
        </is>
      </c>
      <c r="B43" s="8" t="inlineStr">
        <is>
          <t>김송희</t>
        </is>
      </c>
      <c r="C43" s="8" t="inlineStr">
        <is>
          <t>브랜드커머스, 모여라딜 리드</t>
        </is>
      </c>
      <c r="D43" s="57" t="n">
        <v>46247</v>
      </c>
      <c r="E43" s="8" t="inlineStr">
        <is>
          <t>목</t>
        </is>
      </c>
      <c r="F43" s="58" t="n">
        <v>0.6458333333333334</v>
      </c>
      <c r="G43" s="58" t="n">
        <v>0.7083333333333334</v>
      </c>
      <c r="H43" s="7">
        <f>IF(OR(F43="",G43=""),"",(G43-F43)*1440)</f>
        <v/>
      </c>
      <c r="I43" s="8" t="inlineStr">
        <is>
          <t>데이터·정산</t>
        </is>
      </c>
      <c r="J43" s="8" t="inlineStr">
        <is>
          <t>DAT-04 리포트·대시보드 작성</t>
        </is>
      </c>
      <c r="K43" s="8" t="inlineStr">
        <is>
          <t>POUR스토어 단가·공헌이익·손익계산 대시보드 제작 — 진행중</t>
        </is>
      </c>
      <c r="L43" s="8" t="inlineStr">
        <is>
          <t>POUR스토어</t>
        </is>
      </c>
      <c r="M43" s="8" t="inlineStr">
        <is>
          <t>단가 대시보드, 엑셀</t>
        </is>
      </c>
      <c r="N43" t="inlineStr">
        <is>
          <t>POUR스토어 가격·마진 통합 대시보드 (pour-construction-form.pages.dev)</t>
        </is>
      </c>
      <c r="O43" s="8" t="n"/>
      <c r="P43" s="8" t="n"/>
      <c r="Q43" s="8" t="inlineStr">
        <is>
          <t>단가·공헌이익·손익 대시보드</t>
        </is>
      </c>
      <c r="R43" s="8" t="inlineStr">
        <is>
          <t>주 2~3회</t>
        </is>
      </c>
      <c r="S43" s="8" t="inlineStr">
        <is>
          <t>비정형(판단 필요)</t>
        </is>
      </c>
      <c r="T43" s="8" t="inlineStr">
        <is>
          <t>아마도 중복</t>
        </is>
      </c>
      <c r="U43" s="8" t="inlineStr">
        <is>
          <t>채널 수수료·원가 데이터 자동 연동으로 수기 입력 제거</t>
        </is>
      </c>
    </row>
    <row r="44">
      <c r="A44" s="8" t="inlineStr">
        <is>
          <t>브랜드커머스</t>
        </is>
      </c>
      <c r="B44" s="8" t="inlineStr">
        <is>
          <t>김송희</t>
        </is>
      </c>
      <c r="C44" s="8" t="inlineStr">
        <is>
          <t>브랜드커머스, 모여라딜 리드</t>
        </is>
      </c>
      <c r="D44" s="57" t="n">
        <v>46247</v>
      </c>
      <c r="E44" s="8" t="inlineStr">
        <is>
          <t>목</t>
        </is>
      </c>
      <c r="F44" s="58" t="n">
        <v>0.7083333333333334</v>
      </c>
      <c r="G44" s="58" t="n">
        <v>0.75</v>
      </c>
      <c r="H44" s="7">
        <f>IF(OR(F44="",G44=""),"",(G44-F44)*1440)</f>
        <v/>
      </c>
      <c r="I44" s="8" t="inlineStr">
        <is>
          <t>제조·생산관리</t>
        </is>
      </c>
      <c r="J44" s="8" t="inlineStr">
        <is>
          <t>MFG-08 MSDS·라벨 등 제품 표시사항 제작</t>
        </is>
      </c>
      <c r="K44" s="8" t="inlineStr">
        <is>
          <t>신제품 코트재 MSDS 컬러별 31개 제작 — 진행중</t>
        </is>
      </c>
      <c r="L44" s="8" t="inlineStr">
        <is>
          <t>코트재 신제품 31색</t>
        </is>
      </c>
      <c r="M44" s="8" t="inlineStr">
        <is>
          <t>챗지피티</t>
        </is>
      </c>
      <c r="O44" s="8" t="n"/>
      <c r="P44" s="8" t="inlineStr">
        <is>
          <t>세이고, 쿠팡물류센터</t>
        </is>
      </c>
      <c r="Q44" s="8" t="inlineStr">
        <is>
          <t>MSDS 31종</t>
        </is>
      </c>
      <c r="R44" s="8" t="inlineStr">
        <is>
          <t>1회성</t>
        </is>
      </c>
      <c r="S44" s="8" t="inlineStr">
        <is>
          <t>반정형</t>
        </is>
      </c>
      <c r="T44" s="8" t="inlineStr">
        <is>
          <t>아니오 - 우리팀 고유</t>
        </is>
      </c>
      <c r="U44" s="8" t="inlineStr">
        <is>
          <t>품목·색상 데이터 연동으로 MSDS 서식 자동 생성</t>
        </is>
      </c>
    </row>
    <row r="45">
      <c r="A45" s="8" t="inlineStr">
        <is>
          <t>브랜드커머스</t>
        </is>
      </c>
      <c r="B45" s="8" t="inlineStr">
        <is>
          <t>김송희</t>
        </is>
      </c>
      <c r="C45" s="8" t="inlineStr">
        <is>
          <t>브랜드커머스, 모여라딜 리드</t>
        </is>
      </c>
      <c r="D45" s="57" t="n">
        <v>46248</v>
      </c>
      <c r="E45" s="8" t="inlineStr">
        <is>
          <t>금</t>
        </is>
      </c>
      <c r="F45" s="58" t="n">
        <v>0.375</v>
      </c>
      <c r="G45" s="58" t="n">
        <v>0.4375</v>
      </c>
      <c r="H45" s="7">
        <f>IF(OR(F45="",G45=""),"",(G45-F45)*1440)</f>
        <v/>
      </c>
      <c r="I45" s="8" t="inlineStr">
        <is>
          <t>기타·행정</t>
        </is>
      </c>
      <c r="J45" s="8" t="inlineStr">
        <is>
          <t>ETC-04 이동·외근</t>
        </is>
      </c>
      <c r="K45" s="8" t="inlineStr">
        <is>
          <t>부산 대리점 방문 이동(사무실 → 경남지사)</t>
        </is>
      </c>
      <c r="L45" s="8" t="inlineStr">
        <is>
          <t>대리점(경남지사)</t>
        </is>
      </c>
      <c r="M45" s="8" t="n"/>
      <c r="O45" s="8" t="n"/>
      <c r="P45" s="8" t="n"/>
      <c r="Q45" s="8" t="n"/>
      <c r="R45" s="8" t="inlineStr">
        <is>
          <t>분기/비정기</t>
        </is>
      </c>
      <c r="S45" s="8" t="inlineStr">
        <is>
          <t>정형(매뉴얼화 가능)</t>
        </is>
      </c>
      <c r="T45" s="8" t="inlineStr">
        <is>
          <t>아마도 중복</t>
        </is>
      </c>
      <c r="U45" s="8" t="inlineStr">
        <is>
          <t>인근 대리점 방문 일정 묶어 이동시간 절감</t>
        </is>
      </c>
    </row>
    <row r="46">
      <c r="A46" s="8" t="inlineStr">
        <is>
          <t>브랜드커머스</t>
        </is>
      </c>
      <c r="B46" s="8" t="inlineStr">
        <is>
          <t>김송희</t>
        </is>
      </c>
      <c r="C46" s="8" t="inlineStr">
        <is>
          <t>브랜드커머스, 모여라딜 리드</t>
        </is>
      </c>
      <c r="D46" s="57" t="n">
        <v>46248</v>
      </c>
      <c r="E46" s="8" t="inlineStr">
        <is>
          <t>금</t>
        </is>
      </c>
      <c r="F46" s="58" t="n">
        <v>0.4375</v>
      </c>
      <c r="G46" s="58" t="n">
        <v>0.4791666666666667</v>
      </c>
      <c r="H46" s="7">
        <f>IF(OR(F46="",G46=""),"",(G46-F46)*1440)</f>
        <v/>
      </c>
      <c r="I46" s="8" t="inlineStr">
        <is>
          <t>파트너·대리점관리</t>
        </is>
      </c>
      <c r="J46" s="8" t="inlineStr">
        <is>
          <t>PTR-01 대리점·파트너사 방문·미팅</t>
        </is>
      </c>
      <c r="K46" s="8" t="inlineStr">
        <is>
          <t>경남지사 방문 미팅 — 판매 현황·요청사항 청취</t>
        </is>
      </c>
      <c r="L46" s="8" t="inlineStr">
        <is>
          <t>경남지사</t>
        </is>
      </c>
      <c r="M46" s="8" t="n"/>
      <c r="O46" s="8" t="n"/>
      <c r="P46" s="8" t="inlineStr">
        <is>
          <t>경남지사</t>
        </is>
      </c>
      <c r="Q46" s="8" t="inlineStr">
        <is>
          <t>방문 미팅 기록</t>
        </is>
      </c>
      <c r="R46" s="8" t="inlineStr">
        <is>
          <t>분기/비정기</t>
        </is>
      </c>
      <c r="S46" s="8" t="inlineStr">
        <is>
          <t>반정형</t>
        </is>
      </c>
      <c r="T46" s="8" t="inlineStr">
        <is>
          <t>모름</t>
        </is>
      </c>
      <c r="U46" s="8" t="inlineStr">
        <is>
          <t>대리점 방문 결과를 공용 대리점 카드에 기록·공유</t>
        </is>
      </c>
    </row>
    <row r="47">
      <c r="A47" s="8" t="inlineStr">
        <is>
          <t>브랜드커머스</t>
        </is>
      </c>
      <c r="B47" s="8" t="inlineStr">
        <is>
          <t>김송희</t>
        </is>
      </c>
      <c r="C47" s="8" t="inlineStr">
        <is>
          <t>브랜드커머스, 모여라딜 리드</t>
        </is>
      </c>
      <c r="D47" s="57" t="n">
        <v>46248</v>
      </c>
      <c r="E47" s="8" t="inlineStr">
        <is>
          <t>금</t>
        </is>
      </c>
      <c r="F47" s="58" t="n">
        <v>0.4791666666666667</v>
      </c>
      <c r="G47" s="58" t="n">
        <v>0.5</v>
      </c>
      <c r="H47" s="7">
        <f>IF(OR(F47="",G47=""),"",(G47-F47)*1440)</f>
        <v/>
      </c>
      <c r="I47" s="8" t="inlineStr">
        <is>
          <t>파트너·대리점관리</t>
        </is>
      </c>
      <c r="J47" s="8" t="inlineStr">
        <is>
          <t>PTR-02 대리점·파트너 인터뷰·VOC 수집</t>
        </is>
      </c>
      <c r="K47" s="8" t="inlineStr">
        <is>
          <t>경남지사 인터뷰 진행(질문지 기반 VOC 수집)</t>
        </is>
      </c>
      <c r="L47" s="8" t="inlineStr">
        <is>
          <t>경남지사</t>
        </is>
      </c>
      <c r="M47" s="8" t="n"/>
      <c r="O47" s="8" t="n"/>
      <c r="P47" s="8" t="inlineStr">
        <is>
          <t>경남지사</t>
        </is>
      </c>
      <c r="Q47" s="8" t="inlineStr">
        <is>
          <t>인터뷰 기록</t>
        </is>
      </c>
      <c r="R47" s="8" t="inlineStr">
        <is>
          <t>분기/비정기</t>
        </is>
      </c>
      <c r="S47" s="8" t="inlineStr">
        <is>
          <t>반정형</t>
        </is>
      </c>
      <c r="T47" s="8" t="inlineStr">
        <is>
          <t>모름</t>
        </is>
      </c>
      <c r="U47" s="8" t="inlineStr">
        <is>
          <t>인터뷰 VOC를 상품·마케팅 기획 입력값으로 자동 연결</t>
        </is>
      </c>
    </row>
    <row r="48">
      <c r="A48" s="8" t="inlineStr">
        <is>
          <t>브랜드커머스</t>
        </is>
      </c>
      <c r="B48" s="8" t="inlineStr">
        <is>
          <t>김송희</t>
        </is>
      </c>
      <c r="C48" s="8" t="inlineStr">
        <is>
          <t>브랜드커머스, 모여라딜 리드</t>
        </is>
      </c>
      <c r="D48" s="57" t="n">
        <v>46248</v>
      </c>
      <c r="E48" s="8" t="inlineStr">
        <is>
          <t>금</t>
        </is>
      </c>
      <c r="F48" s="58" t="n">
        <v>0.5</v>
      </c>
      <c r="G48" s="58" t="n">
        <v>0.5416666666666666</v>
      </c>
      <c r="H48" s="7">
        <f>IF(OR(F48="",G48=""),"",(G48-F48)*1440)</f>
        <v/>
      </c>
      <c r="I48" s="8" t="inlineStr">
        <is>
          <t>기타·행정</t>
        </is>
      </c>
      <c r="J48" s="8" t="inlineStr">
        <is>
          <t>ETC-05 휴게·점심</t>
        </is>
      </c>
      <c r="K48" s="8" t="inlineStr">
        <is>
          <t>점심 및 휴게</t>
        </is>
      </c>
      <c r="L48" s="8" t="n"/>
      <c r="M48" s="8" t="n"/>
      <c r="O48" s="8" t="n"/>
      <c r="P48" s="8" t="n"/>
      <c r="Q48" s="8" t="n"/>
      <c r="R48" s="8" t="inlineStr">
        <is>
          <t>매일</t>
        </is>
      </c>
      <c r="S48" s="8" t="inlineStr">
        <is>
          <t>정형(매뉴얼화 가능)</t>
        </is>
      </c>
      <c r="T48" s="8" t="inlineStr">
        <is>
          <t>예 - 확실히 중복</t>
        </is>
      </c>
      <c r="U48" s="8" t="n"/>
    </row>
    <row r="49">
      <c r="A49" s="8" t="inlineStr">
        <is>
          <t>브랜드커머스</t>
        </is>
      </c>
      <c r="B49" s="8" t="inlineStr">
        <is>
          <t>김송희</t>
        </is>
      </c>
      <c r="C49" s="8" t="inlineStr">
        <is>
          <t>브랜드커머스, 모여라딜 리드</t>
        </is>
      </c>
      <c r="D49" s="57" t="n">
        <v>46248</v>
      </c>
      <c r="E49" s="8" t="inlineStr">
        <is>
          <t>금</t>
        </is>
      </c>
      <c r="F49" s="58" t="n">
        <v>0.5416666666666666</v>
      </c>
      <c r="G49" s="58" t="n">
        <v>0.5625</v>
      </c>
      <c r="H49" s="7">
        <f>IF(OR(F49="",G49=""),"",(G49-F49)*1440)</f>
        <v/>
      </c>
      <c r="I49" s="8" t="inlineStr">
        <is>
          <t>기타·행정</t>
        </is>
      </c>
      <c r="J49" s="8" t="inlineStr">
        <is>
          <t>ETC-04 이동·외근</t>
        </is>
      </c>
      <c r="K49" s="8" t="inlineStr">
        <is>
          <t>경남지사 → 가나랜드 이동</t>
        </is>
      </c>
      <c r="L49" s="8" t="inlineStr">
        <is>
          <t>대리점(가나랜드)</t>
        </is>
      </c>
      <c r="M49" s="8" t="n"/>
      <c r="O49" s="8" t="n"/>
      <c r="P49" s="8" t="n"/>
      <c r="Q49" s="8" t="n"/>
      <c r="R49" s="8" t="inlineStr">
        <is>
          <t>분기/비정기</t>
        </is>
      </c>
      <c r="S49" s="8" t="inlineStr">
        <is>
          <t>정형(매뉴얼화 가능)</t>
        </is>
      </c>
      <c r="T49" s="8" t="inlineStr">
        <is>
          <t>아마도 중복</t>
        </is>
      </c>
      <c r="U49" s="8" t="inlineStr">
        <is>
          <t>인근 대리점 방문 일정 묶어 이동시간 절감</t>
        </is>
      </c>
    </row>
    <row r="50">
      <c r="A50" s="8" t="inlineStr">
        <is>
          <t>브랜드커머스</t>
        </is>
      </c>
      <c r="B50" s="8" t="inlineStr">
        <is>
          <t>김송희</t>
        </is>
      </c>
      <c r="C50" s="8" t="inlineStr">
        <is>
          <t>브랜드커머스, 모여라딜 리드</t>
        </is>
      </c>
      <c r="D50" s="57" t="n">
        <v>46248</v>
      </c>
      <c r="E50" s="8" t="inlineStr">
        <is>
          <t>금</t>
        </is>
      </c>
      <c r="F50" s="58" t="n">
        <v>0.5625</v>
      </c>
      <c r="G50" s="58" t="n">
        <v>0.6041666666666666</v>
      </c>
      <c r="H50" s="7">
        <f>IF(OR(F50="",G50=""),"",(G50-F50)*1440)</f>
        <v/>
      </c>
      <c r="I50" s="8" t="inlineStr">
        <is>
          <t>파트너·대리점관리</t>
        </is>
      </c>
      <c r="J50" s="8" t="inlineStr">
        <is>
          <t>PTR-01 대리점·파트너사 방문·미팅</t>
        </is>
      </c>
      <c r="K50" s="8" t="inlineStr">
        <is>
          <t>가나랜드 방문 미팅 — 판매 현황·요청사항 청취</t>
        </is>
      </c>
      <c r="L50" s="8" t="inlineStr">
        <is>
          <t>가나랜드</t>
        </is>
      </c>
      <c r="M50" s="8" t="n"/>
      <c r="O50" s="8" t="n"/>
      <c r="P50" s="8" t="inlineStr">
        <is>
          <t>가나랜드</t>
        </is>
      </c>
      <c r="Q50" s="8" t="inlineStr">
        <is>
          <t>방문 미팅 기록</t>
        </is>
      </c>
      <c r="R50" s="8" t="inlineStr">
        <is>
          <t>분기/비정기</t>
        </is>
      </c>
      <c r="S50" s="8" t="inlineStr">
        <is>
          <t>반정형</t>
        </is>
      </c>
      <c r="T50" s="8" t="inlineStr">
        <is>
          <t>모름</t>
        </is>
      </c>
      <c r="U50" s="8" t="inlineStr">
        <is>
          <t>대리점 방문 결과를 공용 대리점 카드에 기록·공유</t>
        </is>
      </c>
    </row>
    <row r="51">
      <c r="A51" s="8" t="inlineStr">
        <is>
          <t>브랜드커머스</t>
        </is>
      </c>
      <c r="B51" s="8" t="inlineStr">
        <is>
          <t>김송희</t>
        </is>
      </c>
      <c r="C51" s="8" t="inlineStr">
        <is>
          <t>브랜드커머스, 모여라딜 리드</t>
        </is>
      </c>
      <c r="D51" s="57" t="n">
        <v>46248</v>
      </c>
      <c r="E51" s="8" t="inlineStr">
        <is>
          <t>금</t>
        </is>
      </c>
      <c r="F51" s="58" t="n">
        <v>0.6041666666666666</v>
      </c>
      <c r="G51" s="58" t="n">
        <v>0.6666666666666666</v>
      </c>
      <c r="H51" s="7">
        <f>IF(OR(F51="",G51=""),"",(G51-F51)*1440)</f>
        <v/>
      </c>
      <c r="I51" s="8" t="inlineStr">
        <is>
          <t>파트너·대리점관리</t>
        </is>
      </c>
      <c r="J51" s="8" t="inlineStr">
        <is>
          <t>PTR-02 대리점·파트너 인터뷰·VOC 수집</t>
        </is>
      </c>
      <c r="K51" s="8" t="inlineStr">
        <is>
          <t>가나랜드 인터뷰 진행 및 현장 촬영(질문지 기반 VOC 수집)</t>
        </is>
      </c>
      <c r="L51" s="8" t="inlineStr">
        <is>
          <t>가나랜드</t>
        </is>
      </c>
      <c r="M51" s="8" t="n"/>
      <c r="O51" s="8" t="n"/>
      <c r="P51" s="8" t="inlineStr">
        <is>
          <t>가나랜드</t>
        </is>
      </c>
      <c r="Q51" s="8" t="inlineStr">
        <is>
          <t>인터뷰 기록·현장 촬영물</t>
        </is>
      </c>
      <c r="R51" s="8" t="inlineStr">
        <is>
          <t>분기/비정기</t>
        </is>
      </c>
      <c r="S51" s="8" t="inlineStr">
        <is>
          <t>반정형</t>
        </is>
      </c>
      <c r="T51" s="8" t="inlineStr">
        <is>
          <t>모름</t>
        </is>
      </c>
      <c r="U51" s="8" t="inlineStr">
        <is>
          <t>인터뷰 VOC를 상품·마케팅 기획 입력값으로 자동 연결</t>
        </is>
      </c>
    </row>
    <row r="52">
      <c r="A52" s="8" t="inlineStr">
        <is>
          <t>브랜드커머스</t>
        </is>
      </c>
      <c r="B52" s="8" t="inlineStr">
        <is>
          <t>김송희</t>
        </is>
      </c>
      <c r="C52" s="8" t="inlineStr">
        <is>
          <t>브랜드커머스, 모여라딜 리드</t>
        </is>
      </c>
      <c r="D52" s="57" t="n">
        <v>46248</v>
      </c>
      <c r="E52" s="8" t="inlineStr">
        <is>
          <t>금</t>
        </is>
      </c>
      <c r="F52" s="58" t="n">
        <v>0.6666666666666666</v>
      </c>
      <c r="G52" s="58" t="n">
        <v>0.75</v>
      </c>
      <c r="H52" s="7">
        <f>IF(OR(F52="",G52=""),"",(G52-F52)*1440)</f>
        <v/>
      </c>
      <c r="I52" s="8" t="inlineStr">
        <is>
          <t>기타·행정</t>
        </is>
      </c>
      <c r="J52" s="8" t="inlineStr">
        <is>
          <t>ETC-04 이동·외근</t>
        </is>
      </c>
      <c r="K52" s="8" t="inlineStr">
        <is>
          <t>부산 → 사무실 복귀 이동</t>
        </is>
      </c>
      <c r="L52" s="8" t="n"/>
      <c r="M52" s="8" t="n"/>
      <c r="O52" s="8" t="n"/>
      <c r="P52" s="8" t="n"/>
      <c r="Q52" s="8" t="n"/>
      <c r="R52" s="8" t="inlineStr">
        <is>
          <t>분기/비정기</t>
        </is>
      </c>
      <c r="S52" s="8" t="inlineStr">
        <is>
          <t>정형(매뉴얼화 가능)</t>
        </is>
      </c>
      <c r="T52" s="8" t="inlineStr">
        <is>
          <t>아마도 중복</t>
        </is>
      </c>
      <c r="U52" s="8" t="inlineStr">
        <is>
          <t>인근 대리점 방문 일정 묶어 이동시간 절감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7">
        <f>IF(OR(F53="",G53=""),"",(G53-F53)*1440)</f>
        <v/>
      </c>
      <c r="I53" s="8" t="n"/>
      <c r="J53" s="8" t="n"/>
      <c r="K53" s="8" t="n"/>
      <c r="L53" s="8" t="n"/>
      <c r="M53" s="8" t="n"/>
      <c r="O53" s="8" t="n"/>
      <c r="P53" s="8" t="n"/>
      <c r="Q53" s="8" t="n"/>
      <c r="R53" s="8" t="n"/>
      <c r="S53" s="8" t="n"/>
      <c r="T53" s="8" t="n"/>
      <c r="U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7">
        <f>IF(OR(F54="",G54=""),"",(G54-F54)*1440)</f>
        <v/>
      </c>
      <c r="I54" s="8" t="n"/>
      <c r="J54" s="8" t="n"/>
      <c r="K54" s="8" t="n"/>
      <c r="L54" s="8" t="n"/>
      <c r="M54" s="8" t="n"/>
      <c r="O54" s="8" t="n"/>
      <c r="P54" s="8" t="n"/>
      <c r="Q54" s="8" t="n"/>
      <c r="R54" s="8" t="n"/>
      <c r="S54" s="8" t="n"/>
      <c r="T54" s="8" t="n"/>
      <c r="U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7">
        <f>IF(OR(F55="",G55=""),"",(G55-F55)*1440)</f>
        <v/>
      </c>
      <c r="I55" s="8" t="n"/>
      <c r="J55" s="8" t="n"/>
      <c r="K55" s="8" t="n"/>
      <c r="L55" s="8" t="n"/>
      <c r="M55" s="8" t="n"/>
      <c r="O55" s="8" t="n"/>
      <c r="P55" s="8" t="n"/>
      <c r="Q55" s="8" t="n"/>
      <c r="R55" s="8" t="n"/>
      <c r="S55" s="8" t="n"/>
      <c r="T55" s="8" t="n"/>
      <c r="U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7">
        <f>IF(OR(F56="",G56=""),"",(G56-F56)*1440)</f>
        <v/>
      </c>
      <c r="I56" s="8" t="n"/>
      <c r="J56" s="8" t="n"/>
      <c r="K56" s="8" t="n"/>
      <c r="L56" s="8" t="n"/>
      <c r="M56" s="8" t="n"/>
      <c r="O56" s="8" t="n"/>
      <c r="P56" s="8" t="n"/>
      <c r="Q56" s="8" t="n"/>
      <c r="R56" s="8" t="n"/>
      <c r="S56" s="8" t="n"/>
      <c r="T56" s="8" t="n"/>
      <c r="U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7">
        <f>IF(OR(F57="",G57=""),"",(G57-F57)*1440)</f>
        <v/>
      </c>
      <c r="I57" s="8" t="n"/>
      <c r="J57" s="8" t="n"/>
      <c r="K57" s="8" t="n"/>
      <c r="L57" s="8" t="n"/>
      <c r="M57" s="8" t="n"/>
      <c r="O57" s="8" t="n"/>
      <c r="P57" s="8" t="n"/>
      <c r="Q57" s="8" t="n"/>
      <c r="R57" s="8" t="n"/>
      <c r="S57" s="8" t="n"/>
      <c r="T57" s="8" t="n"/>
      <c r="U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7">
        <f>IF(OR(F58="",G58=""),"",(G58-F58)*1440)</f>
        <v/>
      </c>
      <c r="I58" s="8" t="n"/>
      <c r="J58" s="8" t="n"/>
      <c r="K58" s="8" t="n"/>
      <c r="L58" s="8" t="n"/>
      <c r="M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7">
        <f>IF(OR(F59="",G59=""),"",(G59-F59)*1440)</f>
        <v/>
      </c>
      <c r="I59" s="8" t="n"/>
      <c r="J59" s="8" t="n"/>
      <c r="K59" s="8" t="n"/>
      <c r="L59" s="8" t="n"/>
      <c r="M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7">
        <f>IF(OR(F60="",G60=""),"",(G60-F60)*1440)</f>
        <v/>
      </c>
      <c r="I60" s="8" t="n"/>
      <c r="J60" s="8" t="n"/>
      <c r="K60" s="8" t="n"/>
      <c r="L60" s="8" t="n"/>
      <c r="M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7">
        <f>IF(OR(F61="",G61=""),"",(G61-F61)*1440)</f>
        <v/>
      </c>
      <c r="I61" s="8" t="n"/>
      <c r="J61" s="8" t="n"/>
      <c r="K61" s="8" t="n"/>
      <c r="L61" s="8" t="n"/>
      <c r="M61" s="8" t="n"/>
      <c r="O61" s="8" t="n"/>
      <c r="P61" s="8" t="n"/>
      <c r="Q61" s="8" t="n"/>
      <c r="R61" s="8" t="n"/>
      <c r="S61" s="8" t="n"/>
      <c r="T61" s="8" t="n"/>
      <c r="U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7">
        <f>IF(OR(F62="",G62=""),"",(G62-F62)*1440)</f>
        <v/>
      </c>
      <c r="I62" s="8" t="n"/>
      <c r="J62" s="8" t="n"/>
      <c r="K62" s="8" t="n"/>
      <c r="L62" s="8" t="n"/>
      <c r="M62" s="8" t="n"/>
      <c r="O62" s="8" t="n"/>
      <c r="P62" s="8" t="n"/>
      <c r="Q62" s="8" t="n"/>
      <c r="R62" s="8" t="n"/>
      <c r="S62" s="8" t="n"/>
      <c r="T62" s="8" t="n"/>
      <c r="U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7">
        <f>IF(OR(F63="",G63=""),"",(G63-F63)*1440)</f>
        <v/>
      </c>
      <c r="I63" s="8" t="n"/>
      <c r="J63" s="8" t="n"/>
      <c r="K63" s="8" t="n"/>
      <c r="L63" s="8" t="n"/>
      <c r="M63" s="8" t="n"/>
      <c r="O63" s="8" t="n"/>
      <c r="P63" s="8" t="n"/>
      <c r="Q63" s="8" t="n"/>
      <c r="R63" s="8" t="n"/>
      <c r="S63" s="8" t="n"/>
      <c r="T63" s="8" t="n"/>
      <c r="U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7">
        <f>IF(OR(F64="",G64=""),"",(G64-F64)*1440)</f>
        <v/>
      </c>
      <c r="I64" s="8" t="n"/>
      <c r="J64" s="8" t="n"/>
      <c r="K64" s="8" t="n"/>
      <c r="L64" s="8" t="n"/>
      <c r="M64" s="8" t="n"/>
      <c r="O64" s="8" t="n"/>
      <c r="P64" s="8" t="n"/>
      <c r="Q64" s="8" t="n"/>
      <c r="R64" s="8" t="n"/>
      <c r="S64" s="8" t="n"/>
      <c r="T64" s="8" t="n"/>
      <c r="U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7">
        <f>IF(OR(F65="",G65=""),"",(G65-F65)*1440)</f>
        <v/>
      </c>
      <c r="I65" s="8" t="n"/>
      <c r="J65" s="8" t="n"/>
      <c r="K65" s="8" t="n"/>
      <c r="L65" s="8" t="n"/>
      <c r="M65" s="8" t="n"/>
      <c r="O65" s="8" t="n"/>
      <c r="P65" s="8" t="n"/>
      <c r="Q65" s="8" t="n"/>
      <c r="R65" s="8" t="n"/>
      <c r="S65" s="8" t="n"/>
      <c r="T65" s="8" t="n"/>
      <c r="U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7">
        <f>IF(OR(F66="",G66=""),"",(G66-F66)*1440)</f>
        <v/>
      </c>
      <c r="I66" s="8" t="n"/>
      <c r="J66" s="8" t="n"/>
      <c r="K66" s="8" t="n"/>
      <c r="L66" s="8" t="n"/>
      <c r="M66" s="8" t="n"/>
      <c r="O66" s="8" t="n"/>
      <c r="P66" s="8" t="n"/>
      <c r="Q66" s="8" t="n"/>
      <c r="R66" s="8" t="n"/>
      <c r="S66" s="8" t="n"/>
      <c r="T66" s="8" t="n"/>
      <c r="U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7">
        <f>IF(OR(F67="",G67=""),"",(G67-F67)*1440)</f>
        <v/>
      </c>
      <c r="I67" s="8" t="n"/>
      <c r="J67" s="8" t="n"/>
      <c r="K67" s="8" t="n"/>
      <c r="L67" s="8" t="n"/>
      <c r="M67" s="8" t="n"/>
      <c r="O67" s="8" t="n"/>
      <c r="P67" s="8" t="n"/>
      <c r="Q67" s="8" t="n"/>
      <c r="R67" s="8" t="n"/>
      <c r="S67" s="8" t="n"/>
      <c r="T67" s="8" t="n"/>
      <c r="U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7">
        <f>IF(OR(F68="",G68=""),"",(G68-F68)*1440)</f>
        <v/>
      </c>
      <c r="I68" s="8" t="n"/>
      <c r="J68" s="8" t="n"/>
      <c r="K68" s="8" t="n"/>
      <c r="L68" s="8" t="n"/>
      <c r="M68" s="8" t="n"/>
      <c r="O68" s="8" t="n"/>
      <c r="P68" s="8" t="n"/>
      <c r="Q68" s="8" t="n"/>
      <c r="R68" s="8" t="n"/>
      <c r="S68" s="8" t="n"/>
      <c r="T68" s="8" t="n"/>
      <c r="U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7">
        <f>IF(OR(F69="",G69=""),"",(G69-F69)*1440)</f>
        <v/>
      </c>
      <c r="I69" s="8" t="n"/>
      <c r="J69" s="8" t="n"/>
      <c r="K69" s="8" t="n"/>
      <c r="L69" s="8" t="n"/>
      <c r="M69" s="8" t="n"/>
      <c r="O69" s="8" t="n"/>
      <c r="P69" s="8" t="n"/>
      <c r="Q69" s="8" t="n"/>
      <c r="R69" s="8" t="n"/>
      <c r="S69" s="8" t="n"/>
      <c r="T69" s="8" t="n"/>
      <c r="U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7">
        <f>IF(OR(F70="",G70=""),"",(G70-F70)*1440)</f>
        <v/>
      </c>
      <c r="I70" s="8" t="n"/>
      <c r="J70" s="8" t="n"/>
      <c r="K70" s="8" t="n"/>
      <c r="L70" s="8" t="n"/>
      <c r="M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7">
        <f>IF(OR(F71="",G71=""),"",(G71-F71)*1440)</f>
        <v/>
      </c>
      <c r="I71" s="8" t="n"/>
      <c r="J71" s="8" t="n"/>
      <c r="K71" s="8" t="n"/>
      <c r="L71" s="8" t="n"/>
      <c r="M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7">
        <f>IF(OR(F72="",G72=""),"",(G72-F72)*1440)</f>
        <v/>
      </c>
      <c r="I72" s="8" t="n"/>
      <c r="J72" s="8" t="n"/>
      <c r="K72" s="8" t="n"/>
      <c r="L72" s="8" t="n"/>
      <c r="M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7">
        <f>IF(OR(F73="",G73=""),"",(G73-F73)*1440)</f>
        <v/>
      </c>
      <c r="I73" s="8" t="n"/>
      <c r="J73" s="8" t="n"/>
      <c r="K73" s="8" t="n"/>
      <c r="L73" s="8" t="n"/>
      <c r="M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7">
        <f>IF(OR(F74="",G74=""),"",(G74-F74)*1440)</f>
        <v/>
      </c>
      <c r="I74" s="8" t="n"/>
      <c r="J74" s="8" t="n"/>
      <c r="K74" s="8" t="n"/>
      <c r="L74" s="8" t="n"/>
      <c r="M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7">
        <f>IF(OR(F75="",G75=""),"",(G75-F75)*1440)</f>
        <v/>
      </c>
      <c r="I75" s="8" t="n"/>
      <c r="J75" s="8" t="n"/>
      <c r="K75" s="8" t="n"/>
      <c r="L75" s="8" t="n"/>
      <c r="M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7">
        <f>IF(OR(F76="",G76=""),"",(G76-F76)*1440)</f>
        <v/>
      </c>
      <c r="I76" s="8" t="n"/>
      <c r="J76" s="8" t="n"/>
      <c r="K76" s="8" t="n"/>
      <c r="L76" s="8" t="n"/>
      <c r="M76" s="8" t="n"/>
      <c r="O76" s="8" t="n"/>
      <c r="P76" s="8" t="n"/>
      <c r="Q76" s="8" t="n"/>
      <c r="R76" s="8" t="n"/>
      <c r="S76" s="8" t="n"/>
      <c r="T76" s="8" t="n"/>
      <c r="U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7">
        <f>IF(OR(F77="",G77=""),"",(G77-F77)*1440)</f>
        <v/>
      </c>
      <c r="I77" s="8" t="n"/>
      <c r="J77" s="8" t="n"/>
      <c r="K77" s="8" t="n"/>
      <c r="L77" s="8" t="n"/>
      <c r="M77" s="8" t="n"/>
      <c r="O77" s="8" t="n"/>
      <c r="P77" s="8" t="n"/>
      <c r="Q77" s="8" t="n"/>
      <c r="R77" s="8" t="n"/>
      <c r="S77" s="8" t="n"/>
      <c r="T77" s="8" t="n"/>
      <c r="U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7">
        <f>IF(OR(F78="",G78=""),"",(G78-F78)*1440)</f>
        <v/>
      </c>
      <c r="I78" s="8" t="n"/>
      <c r="J78" s="8" t="n"/>
      <c r="K78" s="8" t="n"/>
      <c r="L78" s="8" t="n"/>
      <c r="M78" s="8" t="n"/>
      <c r="O78" s="8" t="n"/>
      <c r="P78" s="8" t="n"/>
      <c r="Q78" s="8" t="n"/>
      <c r="R78" s="8" t="n"/>
      <c r="S78" s="8" t="n"/>
      <c r="T78" s="8" t="n"/>
      <c r="U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7">
        <f>IF(OR(F79="",G79=""),"",(G79-F79)*1440)</f>
        <v/>
      </c>
      <c r="I79" s="8" t="n"/>
      <c r="J79" s="8" t="n"/>
      <c r="K79" s="8" t="n"/>
      <c r="L79" s="8" t="n"/>
      <c r="M79" s="8" t="n"/>
      <c r="O79" s="8" t="n"/>
      <c r="P79" s="8" t="n"/>
      <c r="Q79" s="8" t="n"/>
      <c r="R79" s="8" t="n"/>
      <c r="S79" s="8" t="n"/>
      <c r="T79" s="8" t="n"/>
      <c r="U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7">
        <f>IF(OR(F80="",G80=""),"",(G80-F80)*1440)</f>
        <v/>
      </c>
      <c r="I80" s="8" t="n"/>
      <c r="J80" s="8" t="n"/>
      <c r="K80" s="8" t="n"/>
      <c r="L80" s="8" t="n"/>
      <c r="M80" s="8" t="n"/>
      <c r="O80" s="8" t="n"/>
      <c r="P80" s="8" t="n"/>
      <c r="Q80" s="8" t="n"/>
      <c r="R80" s="8" t="n"/>
      <c r="S80" s="8" t="n"/>
      <c r="T80" s="8" t="n"/>
      <c r="U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7">
        <f>IF(OR(F81="",G81=""),"",(G81-F81)*1440)</f>
        <v/>
      </c>
      <c r="I81" s="8" t="n"/>
      <c r="J81" s="8" t="n"/>
      <c r="K81" s="8" t="n"/>
      <c r="L81" s="8" t="n"/>
      <c r="M81" s="8" t="n"/>
      <c r="O81" s="8" t="n"/>
      <c r="P81" s="8" t="n"/>
      <c r="Q81" s="8" t="n"/>
      <c r="R81" s="8" t="n"/>
      <c r="S81" s="8" t="n"/>
      <c r="T81" s="8" t="n"/>
      <c r="U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7">
        <f>IF(OR(F82="",G82=""),"",(G82-F82)*1440)</f>
        <v/>
      </c>
      <c r="I82" s="8" t="n"/>
      <c r="J82" s="8" t="n"/>
      <c r="K82" s="8" t="n"/>
      <c r="L82" s="8" t="n"/>
      <c r="M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7">
        <f>IF(OR(F83="",G83=""),"",(G83-F83)*1440)</f>
        <v/>
      </c>
      <c r="I83" s="8" t="n"/>
      <c r="J83" s="8" t="n"/>
      <c r="K83" s="8" t="n"/>
      <c r="L83" s="8" t="n"/>
      <c r="M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7">
        <f>IF(OR(F84="",G84=""),"",(G84-F84)*1440)</f>
        <v/>
      </c>
      <c r="I84" s="8" t="n"/>
      <c r="J84" s="8" t="n"/>
      <c r="K84" s="8" t="n"/>
      <c r="L84" s="8" t="n"/>
      <c r="M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7">
        <f>IF(OR(F85="",G85=""),"",(G85-F85)*1440)</f>
        <v/>
      </c>
      <c r="I85" s="8" t="n"/>
      <c r="J85" s="8" t="n"/>
      <c r="K85" s="8" t="n"/>
      <c r="L85" s="8" t="n"/>
      <c r="M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7">
        <f>IF(OR(F86="",G86=""),"",(G86-F86)*1440)</f>
        <v/>
      </c>
      <c r="I86" s="8" t="n"/>
      <c r="J86" s="8" t="n"/>
      <c r="K86" s="8" t="n"/>
      <c r="L86" s="8" t="n"/>
      <c r="M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7">
        <f>IF(OR(F87="",G87=""),"",(G87-F87)*1440)</f>
        <v/>
      </c>
      <c r="I87" s="8" t="n"/>
      <c r="J87" s="8" t="n"/>
      <c r="K87" s="8" t="n"/>
      <c r="L87" s="8" t="n"/>
      <c r="M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7">
        <f>IF(OR(F88="",G88=""),"",(G88-F88)*1440)</f>
        <v/>
      </c>
      <c r="I88" s="8" t="n"/>
      <c r="J88" s="8" t="n"/>
      <c r="K88" s="8" t="n"/>
      <c r="L88" s="8" t="n"/>
      <c r="M88" s="8" t="n"/>
      <c r="O88" s="8" t="n"/>
      <c r="P88" s="8" t="n"/>
      <c r="Q88" s="8" t="n"/>
      <c r="R88" s="8" t="n"/>
      <c r="S88" s="8" t="n"/>
      <c r="T88" s="8" t="n"/>
      <c r="U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7">
        <f>IF(OR(F89="",G89=""),"",(G89-F89)*1440)</f>
        <v/>
      </c>
      <c r="I89" s="8" t="n"/>
      <c r="J89" s="8" t="n"/>
      <c r="K89" s="8" t="n"/>
      <c r="L89" s="8" t="n"/>
      <c r="M89" s="8" t="n"/>
      <c r="O89" s="8" t="n"/>
      <c r="P89" s="8" t="n"/>
      <c r="Q89" s="8" t="n"/>
      <c r="R89" s="8" t="n"/>
      <c r="S89" s="8" t="n"/>
      <c r="T89" s="8" t="n"/>
      <c r="U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7">
        <f>IF(OR(F90="",G90=""),"",(G90-F90)*1440)</f>
        <v/>
      </c>
      <c r="I90" s="8" t="n"/>
      <c r="J90" s="8" t="n"/>
      <c r="K90" s="8" t="n"/>
      <c r="L90" s="8" t="n"/>
      <c r="M90" s="8" t="n"/>
      <c r="O90" s="8" t="n"/>
      <c r="P90" s="8" t="n"/>
      <c r="Q90" s="8" t="n"/>
      <c r="R90" s="8" t="n"/>
      <c r="S90" s="8" t="n"/>
      <c r="T90" s="8" t="n"/>
      <c r="U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7">
        <f>IF(OR(F91="",G91=""),"",(G91-F91)*1440)</f>
        <v/>
      </c>
      <c r="I91" s="8" t="n"/>
      <c r="J91" s="8" t="n"/>
      <c r="K91" s="8" t="n"/>
      <c r="L91" s="8" t="n"/>
      <c r="M91" s="8" t="n"/>
      <c r="O91" s="8" t="n"/>
      <c r="P91" s="8" t="n"/>
      <c r="Q91" s="8" t="n"/>
      <c r="R91" s="8" t="n"/>
      <c r="S91" s="8" t="n"/>
      <c r="T91" s="8" t="n"/>
      <c r="U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7">
        <f>IF(OR(F92="",G92=""),"",(G92-F92)*1440)</f>
        <v/>
      </c>
      <c r="I92" s="8" t="n"/>
      <c r="J92" s="8" t="n"/>
      <c r="K92" s="8" t="n"/>
      <c r="L92" s="8" t="n"/>
      <c r="M92" s="8" t="n"/>
      <c r="O92" s="8" t="n"/>
      <c r="P92" s="8" t="n"/>
      <c r="Q92" s="8" t="n"/>
      <c r="R92" s="8" t="n"/>
      <c r="S92" s="8" t="n"/>
      <c r="T92" s="8" t="n"/>
      <c r="U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7">
        <f>IF(OR(F93="",G93=""),"",(G93-F93)*1440)</f>
        <v/>
      </c>
      <c r="I93" s="8" t="n"/>
      <c r="J93" s="8" t="n"/>
      <c r="K93" s="8" t="n"/>
      <c r="L93" s="8" t="n"/>
      <c r="M93" s="8" t="n"/>
      <c r="O93" s="8" t="n"/>
      <c r="P93" s="8" t="n"/>
      <c r="Q93" s="8" t="n"/>
      <c r="R93" s="8" t="n"/>
      <c r="S93" s="8" t="n"/>
      <c r="T93" s="8" t="n"/>
      <c r="U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7">
        <f>IF(OR(F94="",G94=""),"",(G94-F94)*1440)</f>
        <v/>
      </c>
      <c r="I94" s="8" t="n"/>
      <c r="J94" s="8" t="n"/>
      <c r="K94" s="8" t="n"/>
      <c r="L94" s="8" t="n"/>
      <c r="M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7">
        <f>IF(OR(F95="",G95=""),"",(G95-F95)*1440)</f>
        <v/>
      </c>
      <c r="I95" s="8" t="n"/>
      <c r="J95" s="8" t="n"/>
      <c r="K95" s="8" t="n"/>
      <c r="L95" s="8" t="n"/>
      <c r="M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7">
        <f>IF(OR(F96="",G96=""),"",(G96-F96)*1440)</f>
        <v/>
      </c>
      <c r="I96" s="8" t="n"/>
      <c r="J96" s="8" t="n"/>
      <c r="K96" s="8" t="n"/>
      <c r="L96" s="8" t="n"/>
      <c r="M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7">
        <f>IF(OR(F97="",G97=""),"",(G97-F97)*1440)</f>
        <v/>
      </c>
      <c r="I97" s="8" t="n"/>
      <c r="J97" s="8" t="n"/>
      <c r="K97" s="8" t="n"/>
      <c r="L97" s="8" t="n"/>
      <c r="M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7">
        <f>IF(OR(F98="",G98=""),"",(G98-F98)*1440)</f>
        <v/>
      </c>
      <c r="I98" s="8" t="n"/>
      <c r="J98" s="8" t="n"/>
      <c r="K98" s="8" t="n"/>
      <c r="L98" s="8" t="n"/>
      <c r="M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7">
        <f>IF(OR(F99="",G99=""),"",(G99-F99)*1440)</f>
        <v/>
      </c>
      <c r="I99" s="8" t="n"/>
      <c r="J99" s="8" t="n"/>
      <c r="K99" s="8" t="n"/>
      <c r="L99" s="8" t="n"/>
      <c r="M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7">
        <f>IF(OR(F100="",G100=""),"",(G100-F100)*1440)</f>
        <v/>
      </c>
      <c r="I100" s="8" t="n"/>
      <c r="J100" s="8" t="n"/>
      <c r="K100" s="8" t="n"/>
      <c r="L100" s="8" t="n"/>
      <c r="M100" s="8" t="n"/>
      <c r="O100" s="8" t="n"/>
      <c r="P100" s="8" t="n"/>
      <c r="Q100" s="8" t="n"/>
      <c r="R100" s="8" t="n"/>
      <c r="S100" s="8" t="n"/>
      <c r="T100" s="8" t="n"/>
      <c r="U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7">
        <f>IF(OR(F101="",G101=""),"",(G101-F101)*1440)</f>
        <v/>
      </c>
      <c r="I101" s="8" t="n"/>
      <c r="J101" s="8" t="n"/>
      <c r="K101" s="8" t="n"/>
      <c r="L101" s="8" t="n"/>
      <c r="M101" s="8" t="n"/>
      <c r="O101" s="8" t="n"/>
      <c r="P101" s="8" t="n"/>
      <c r="Q101" s="8" t="n"/>
      <c r="R101" s="8" t="n"/>
      <c r="S101" s="8" t="n"/>
      <c r="T101" s="8" t="n"/>
      <c r="U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7">
        <f>IF(OR(F102="",G102=""),"",(G102-F102)*1440)</f>
        <v/>
      </c>
      <c r="I102" s="8" t="n"/>
      <c r="J102" s="8" t="n"/>
      <c r="K102" s="8" t="n"/>
      <c r="L102" s="8" t="n"/>
      <c r="M102" s="8" t="n"/>
      <c r="O102" s="8" t="n"/>
      <c r="P102" s="8" t="n"/>
      <c r="Q102" s="8" t="n"/>
      <c r="R102" s="8" t="n"/>
      <c r="S102" s="8" t="n"/>
      <c r="T102" s="8" t="n"/>
      <c r="U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7">
        <f>IF(OR(F103="",G103=""),"",(G103-F103)*1440)</f>
        <v/>
      </c>
      <c r="I103" s="8" t="n"/>
      <c r="J103" s="8" t="n"/>
      <c r="K103" s="8" t="n"/>
      <c r="L103" s="8" t="n"/>
      <c r="M103" s="8" t="n"/>
      <c r="O103" s="8" t="n"/>
      <c r="P103" s="8" t="n"/>
      <c r="Q103" s="8" t="n"/>
      <c r="R103" s="8" t="n"/>
      <c r="S103" s="8" t="n"/>
      <c r="T103" s="8" t="n"/>
      <c r="U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7">
        <f>IF(OR(F104="",G104=""),"",(G104-F104)*1440)</f>
        <v/>
      </c>
      <c r="I104" s="8" t="n"/>
      <c r="J104" s="8" t="n"/>
      <c r="K104" s="8" t="n"/>
      <c r="L104" s="8" t="n"/>
      <c r="M104" s="8" t="n"/>
      <c r="O104" s="8" t="n"/>
      <c r="P104" s="8" t="n"/>
      <c r="Q104" s="8" t="n"/>
      <c r="R104" s="8" t="n"/>
      <c r="S104" s="8" t="n"/>
      <c r="T104" s="8" t="n"/>
      <c r="U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7">
        <f>IF(OR(F105="",G105=""),"",(G105-F105)*1440)</f>
        <v/>
      </c>
      <c r="I105" s="8" t="n"/>
      <c r="J105" s="8" t="n"/>
      <c r="K105" s="8" t="n"/>
      <c r="L105" s="8" t="n"/>
      <c r="M105" s="8" t="n"/>
      <c r="O105" s="8" t="n"/>
      <c r="P105" s="8" t="n"/>
      <c r="Q105" s="8" t="n"/>
      <c r="R105" s="8" t="n"/>
      <c r="S105" s="8" t="n"/>
      <c r="T105" s="8" t="n"/>
      <c r="U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7">
        <f>IF(OR(F106="",G106=""),"",(G106-F106)*1440)</f>
        <v/>
      </c>
      <c r="I106" s="8" t="n"/>
      <c r="J106" s="8" t="n"/>
      <c r="K106" s="8" t="n"/>
      <c r="L106" s="8" t="n"/>
      <c r="M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7">
        <f>IF(OR(F107="",G107=""),"",(G107-F107)*1440)</f>
        <v/>
      </c>
      <c r="I107" s="8" t="n"/>
      <c r="J107" s="8" t="n"/>
      <c r="K107" s="8" t="n"/>
      <c r="L107" s="8" t="n"/>
      <c r="M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7">
        <f>IF(OR(F108="",G108=""),"",(G108-F108)*1440)</f>
        <v/>
      </c>
      <c r="I108" s="8" t="n"/>
      <c r="J108" s="8" t="n"/>
      <c r="K108" s="8" t="n"/>
      <c r="L108" s="8" t="n"/>
      <c r="M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7">
        <f>IF(OR(F109="",G109=""),"",(G109-F109)*1440)</f>
        <v/>
      </c>
      <c r="I109" s="8" t="n"/>
      <c r="J109" s="8" t="n"/>
      <c r="K109" s="8" t="n"/>
      <c r="L109" s="8" t="n"/>
      <c r="M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7">
        <f>IF(OR(F110="",G110=""),"",(G110-F110)*1440)</f>
        <v/>
      </c>
      <c r="I110" s="8" t="n"/>
      <c r="J110" s="8" t="n"/>
      <c r="K110" s="8" t="n"/>
      <c r="L110" s="8" t="n"/>
      <c r="M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7">
        <f>IF(OR(F111="",G111=""),"",(G111-F111)*1440)</f>
        <v/>
      </c>
      <c r="I111" s="8" t="n"/>
      <c r="J111" s="8" t="n"/>
      <c r="K111" s="8" t="n"/>
      <c r="L111" s="8" t="n"/>
      <c r="M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7">
        <f>IF(OR(F112="",G112=""),"",(G112-F112)*1440)</f>
        <v/>
      </c>
      <c r="I112" s="8" t="n"/>
      <c r="J112" s="8" t="n"/>
      <c r="K112" s="8" t="n"/>
      <c r="L112" s="8" t="n"/>
      <c r="M112" s="8" t="n"/>
      <c r="O112" s="8" t="n"/>
      <c r="P112" s="8" t="n"/>
      <c r="Q112" s="8" t="n"/>
      <c r="R112" s="8" t="n"/>
      <c r="S112" s="8" t="n"/>
      <c r="T112" s="8" t="n"/>
      <c r="U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7">
        <f>IF(OR(F113="",G113=""),"",(G113-F113)*1440)</f>
        <v/>
      </c>
      <c r="I113" s="8" t="n"/>
      <c r="J113" s="8" t="n"/>
      <c r="K113" s="8" t="n"/>
      <c r="L113" s="8" t="n"/>
      <c r="M113" s="8" t="n"/>
      <c r="O113" s="8" t="n"/>
      <c r="P113" s="8" t="n"/>
      <c r="Q113" s="8" t="n"/>
      <c r="R113" s="8" t="n"/>
      <c r="S113" s="8" t="n"/>
      <c r="T113" s="8" t="n"/>
      <c r="U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7">
        <f>IF(OR(F114="",G114=""),"",(G114-F114)*1440)</f>
        <v/>
      </c>
      <c r="I114" s="8" t="n"/>
      <c r="J114" s="8" t="n"/>
      <c r="K114" s="8" t="n"/>
      <c r="L114" s="8" t="n"/>
      <c r="M114" s="8" t="n"/>
      <c r="O114" s="8" t="n"/>
      <c r="P114" s="8" t="n"/>
      <c r="Q114" s="8" t="n"/>
      <c r="R114" s="8" t="n"/>
      <c r="S114" s="8" t="n"/>
      <c r="T114" s="8" t="n"/>
      <c r="U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7">
        <f>IF(OR(F115="",G115=""),"",(G115-F115)*1440)</f>
        <v/>
      </c>
      <c r="I115" s="8" t="n"/>
      <c r="J115" s="8" t="n"/>
      <c r="K115" s="8" t="n"/>
      <c r="L115" s="8" t="n"/>
      <c r="M115" s="8" t="n"/>
      <c r="O115" s="8" t="n"/>
      <c r="P115" s="8" t="n"/>
      <c r="Q115" s="8" t="n"/>
      <c r="R115" s="8" t="n"/>
      <c r="S115" s="8" t="n"/>
      <c r="T115" s="8" t="n"/>
      <c r="U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7">
        <f>IF(OR(F116="",G116=""),"",(G116-F116)*1440)</f>
        <v/>
      </c>
      <c r="I116" s="8" t="n"/>
      <c r="J116" s="8" t="n"/>
      <c r="K116" s="8" t="n"/>
      <c r="L116" s="8" t="n"/>
      <c r="M116" s="8" t="n"/>
      <c r="O116" s="8" t="n"/>
      <c r="P116" s="8" t="n"/>
      <c r="Q116" s="8" t="n"/>
      <c r="R116" s="8" t="n"/>
      <c r="S116" s="8" t="n"/>
      <c r="T116" s="8" t="n"/>
      <c r="U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7">
        <f>IF(OR(F117="",G117=""),"",(G117-F117)*1440)</f>
        <v/>
      </c>
      <c r="I117" s="8" t="n"/>
      <c r="J117" s="8" t="n"/>
      <c r="K117" s="8" t="n"/>
      <c r="L117" s="8" t="n"/>
      <c r="M117" s="8" t="n"/>
      <c r="O117" s="8" t="n"/>
      <c r="P117" s="8" t="n"/>
      <c r="Q117" s="8" t="n"/>
      <c r="R117" s="8" t="n"/>
      <c r="S117" s="8" t="n"/>
      <c r="T117" s="8" t="n"/>
      <c r="U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7">
        <f>IF(OR(F118="",G118=""),"",(G118-F118)*1440)</f>
        <v/>
      </c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7">
        <f>IF(OR(F119="",G119=""),"",(G119-F119)*1440)</f>
        <v/>
      </c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7">
        <f>IF(OR(F120="",G120=""),"",(G120-F120)*1440)</f>
        <v/>
      </c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7">
        <f>IF(OR(F121="",G121=""),"",(G121-F121)*1440)</f>
        <v/>
      </c>
      <c r="I121" s="8" t="n"/>
      <c r="J121" s="8" t="n"/>
      <c r="K121" s="8" t="n"/>
      <c r="L121" s="8" t="n"/>
      <c r="M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7">
        <f>IF(OR(F122="",G122=""),"",(G122-F122)*1440)</f>
        <v/>
      </c>
      <c r="I122" s="8" t="n"/>
      <c r="J122" s="8" t="n"/>
      <c r="K122" s="8" t="n"/>
      <c r="L122" s="8" t="n"/>
      <c r="M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7">
        <f>IF(OR(F123="",G123=""),"",(G123-F123)*1440)</f>
        <v/>
      </c>
      <c r="I123" s="8" t="n"/>
      <c r="J123" s="8" t="n"/>
      <c r="K123" s="8" t="n"/>
      <c r="L123" s="8" t="n"/>
      <c r="M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7">
        <f>IF(OR(F124="",G124=""),"",(G124-F124)*1440)</f>
        <v/>
      </c>
      <c r="I124" s="8" t="n"/>
      <c r="J124" s="8" t="n"/>
      <c r="K124" s="8" t="n"/>
      <c r="L124" s="8" t="n"/>
      <c r="M124" s="8" t="n"/>
      <c r="O124" s="8" t="n"/>
      <c r="P124" s="8" t="n"/>
      <c r="Q124" s="8" t="n"/>
      <c r="R124" s="8" t="n"/>
      <c r="S124" s="8" t="n"/>
      <c r="T124" s="8" t="n"/>
      <c r="U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7">
        <f>IF(OR(F125="",G125=""),"",(G125-F125)*1440)</f>
        <v/>
      </c>
      <c r="I125" s="8" t="n"/>
      <c r="J125" s="8" t="n"/>
      <c r="K125" s="8" t="n"/>
      <c r="L125" s="8" t="n"/>
      <c r="M125" s="8" t="n"/>
      <c r="O125" s="8" t="n"/>
      <c r="P125" s="8" t="n"/>
      <c r="Q125" s="8" t="n"/>
      <c r="R125" s="8" t="n"/>
      <c r="S125" s="8" t="n"/>
      <c r="T125" s="8" t="n"/>
      <c r="U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7">
        <f>IF(OR(F126="",G126=""),"",(G126-F126)*1440)</f>
        <v/>
      </c>
      <c r="I126" s="8" t="n"/>
      <c r="J126" s="8" t="n"/>
      <c r="K126" s="8" t="n"/>
      <c r="L126" s="8" t="n"/>
      <c r="M126" s="8" t="n"/>
      <c r="O126" s="8" t="n"/>
      <c r="P126" s="8" t="n"/>
      <c r="Q126" s="8" t="n"/>
      <c r="R126" s="8" t="n"/>
      <c r="S126" s="8" t="n"/>
      <c r="T126" s="8" t="n"/>
      <c r="U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7">
        <f>IF(OR(F127="",G127=""),"",(G127-F127)*1440)</f>
        <v/>
      </c>
      <c r="I127" s="8" t="n"/>
      <c r="J127" s="8" t="n"/>
      <c r="K127" s="8" t="n"/>
      <c r="L127" s="8" t="n"/>
      <c r="M127" s="8" t="n"/>
      <c r="O127" s="8" t="n"/>
      <c r="P127" s="8" t="n"/>
      <c r="Q127" s="8" t="n"/>
      <c r="R127" s="8" t="n"/>
      <c r="S127" s="8" t="n"/>
      <c r="T127" s="8" t="n"/>
      <c r="U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7">
        <f>IF(OR(F128="",G128=""),"",(G128-F128)*1440)</f>
        <v/>
      </c>
      <c r="I128" s="8" t="n"/>
      <c r="J128" s="8" t="n"/>
      <c r="K128" s="8" t="n"/>
      <c r="L128" s="8" t="n"/>
      <c r="M128" s="8" t="n"/>
      <c r="O128" s="8" t="n"/>
      <c r="P128" s="8" t="n"/>
      <c r="Q128" s="8" t="n"/>
      <c r="R128" s="8" t="n"/>
      <c r="S128" s="8" t="n"/>
      <c r="T128" s="8" t="n"/>
      <c r="U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7">
        <f>IF(OR(F129="",G129=""),"",(G129-F129)*1440)</f>
        <v/>
      </c>
      <c r="I129" s="8" t="n"/>
      <c r="J129" s="8" t="n"/>
      <c r="K129" s="8" t="n"/>
      <c r="L129" s="8" t="n"/>
      <c r="M129" s="8" t="n"/>
      <c r="O129" s="8" t="n"/>
      <c r="P129" s="8" t="n"/>
      <c r="Q129" s="8" t="n"/>
      <c r="R129" s="8" t="n"/>
      <c r="S129" s="8" t="n"/>
      <c r="T129" s="8" t="n"/>
      <c r="U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7">
        <f>IF(OR(F130="",G130=""),"",(G130-F130)*1440)</f>
        <v/>
      </c>
      <c r="I130" s="8" t="n"/>
      <c r="J130" s="8" t="n"/>
      <c r="K130" s="8" t="n"/>
      <c r="L130" s="8" t="n"/>
      <c r="M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7">
        <f>IF(OR(F131="",G131=""),"",(G131-F131)*1440)</f>
        <v/>
      </c>
      <c r="I131" s="8" t="n"/>
      <c r="J131" s="8" t="n"/>
      <c r="K131" s="8" t="n"/>
      <c r="L131" s="8" t="n"/>
      <c r="M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7">
        <f>IF(OR(F132="",G132=""),"",(G132-F132)*1440)</f>
        <v/>
      </c>
      <c r="I132" s="8" t="n"/>
      <c r="J132" s="8" t="n"/>
      <c r="K132" s="8" t="n"/>
      <c r="L132" s="8" t="n"/>
      <c r="M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7">
        <f>IF(OR(F133="",G133=""),"",(G133-F133)*1440)</f>
        <v/>
      </c>
      <c r="I133" s="8" t="n"/>
      <c r="J133" s="8" t="n"/>
      <c r="K133" s="8" t="n"/>
      <c r="L133" s="8" t="n"/>
      <c r="M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7">
        <f>IF(OR(F134="",G134=""),"",(G134-F134)*1440)</f>
        <v/>
      </c>
      <c r="I134" s="8" t="n"/>
      <c r="J134" s="8" t="n"/>
      <c r="K134" s="8" t="n"/>
      <c r="L134" s="8" t="n"/>
      <c r="M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7">
        <f>IF(OR(F135="",G135=""),"",(G135-F135)*1440)</f>
        <v/>
      </c>
      <c r="I135" s="8" t="n"/>
      <c r="J135" s="8" t="n"/>
      <c r="K135" s="8" t="n"/>
      <c r="L135" s="8" t="n"/>
      <c r="M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7">
        <f>IF(OR(F136="",G136=""),"",(G136-F136)*1440)</f>
        <v/>
      </c>
      <c r="I136" s="8" t="n"/>
      <c r="J136" s="8" t="n"/>
      <c r="K136" s="8" t="n"/>
      <c r="L136" s="8" t="n"/>
      <c r="M136" s="8" t="n"/>
      <c r="O136" s="8" t="n"/>
      <c r="P136" s="8" t="n"/>
      <c r="Q136" s="8" t="n"/>
      <c r="R136" s="8" t="n"/>
      <c r="S136" s="8" t="n"/>
      <c r="T136" s="8" t="n"/>
      <c r="U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7">
        <f>IF(OR(F137="",G137=""),"",(G137-F137)*1440)</f>
        <v/>
      </c>
      <c r="I137" s="8" t="n"/>
      <c r="J137" s="8" t="n"/>
      <c r="K137" s="8" t="n"/>
      <c r="L137" s="8" t="n"/>
      <c r="M137" s="8" t="n"/>
      <c r="O137" s="8" t="n"/>
      <c r="P137" s="8" t="n"/>
      <c r="Q137" s="8" t="n"/>
      <c r="R137" s="8" t="n"/>
      <c r="S137" s="8" t="n"/>
      <c r="T137" s="8" t="n"/>
      <c r="U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7">
        <f>IF(OR(F138="",G138=""),"",(G138-F138)*1440)</f>
        <v/>
      </c>
      <c r="I138" s="8" t="n"/>
      <c r="J138" s="8" t="n"/>
      <c r="K138" s="8" t="n"/>
      <c r="L138" s="8" t="n"/>
      <c r="M138" s="8" t="n"/>
      <c r="O138" s="8" t="n"/>
      <c r="P138" s="8" t="n"/>
      <c r="Q138" s="8" t="n"/>
      <c r="R138" s="8" t="n"/>
      <c r="S138" s="8" t="n"/>
      <c r="T138" s="8" t="n"/>
      <c r="U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7">
        <f>IF(OR(F139="",G139=""),"",(G139-F139)*1440)</f>
        <v/>
      </c>
      <c r="I139" s="8" t="n"/>
      <c r="J139" s="8" t="n"/>
      <c r="K139" s="8" t="n"/>
      <c r="L139" s="8" t="n"/>
      <c r="M139" s="8" t="n"/>
      <c r="O139" s="8" t="n"/>
      <c r="P139" s="8" t="n"/>
      <c r="Q139" s="8" t="n"/>
      <c r="R139" s="8" t="n"/>
      <c r="S139" s="8" t="n"/>
      <c r="T139" s="8" t="n"/>
      <c r="U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7">
        <f>IF(OR(F140="",G140=""),"",(G140-F140)*1440)</f>
        <v/>
      </c>
      <c r="I140" s="8" t="n"/>
      <c r="J140" s="8" t="n"/>
      <c r="K140" s="8" t="n"/>
      <c r="L140" s="8" t="n"/>
      <c r="M140" s="8" t="n"/>
      <c r="O140" s="8" t="n"/>
      <c r="P140" s="8" t="n"/>
      <c r="Q140" s="8" t="n"/>
      <c r="R140" s="8" t="n"/>
      <c r="S140" s="8" t="n"/>
      <c r="T140" s="8" t="n"/>
      <c r="U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7">
        <f>IF(OR(F141="",G141=""),"",(G141-F141)*1440)</f>
        <v/>
      </c>
      <c r="I141" s="8" t="n"/>
      <c r="J141" s="8" t="n"/>
      <c r="K141" s="8" t="n"/>
      <c r="L141" s="8" t="n"/>
      <c r="M141" s="8" t="n"/>
      <c r="O141" s="8" t="n"/>
      <c r="P141" s="8" t="n"/>
      <c r="Q141" s="8" t="n"/>
      <c r="R141" s="8" t="n"/>
      <c r="S141" s="8" t="n"/>
      <c r="T141" s="8" t="n"/>
      <c r="U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7">
        <f>IF(OR(F142="",G142=""),"",(G142-F142)*1440)</f>
        <v/>
      </c>
      <c r="I142" s="8" t="n"/>
      <c r="J142" s="8" t="n"/>
      <c r="K142" s="8" t="n"/>
      <c r="L142" s="8" t="n"/>
      <c r="M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7">
        <f>IF(OR(F143="",G143=""),"",(G143-F143)*1440)</f>
        <v/>
      </c>
      <c r="I143" s="8" t="n"/>
      <c r="J143" s="8" t="n"/>
      <c r="K143" s="8" t="n"/>
      <c r="L143" s="8" t="n"/>
      <c r="M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7">
        <f>IF(OR(F144="",G144=""),"",(G144-F144)*1440)</f>
        <v/>
      </c>
      <c r="I144" s="8" t="n"/>
      <c r="J144" s="8" t="n"/>
      <c r="K144" s="8" t="n"/>
      <c r="L144" s="8" t="n"/>
      <c r="M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7">
        <f>IF(OR(F145="",G145=""),"",(G145-F145)*1440)</f>
        <v/>
      </c>
      <c r="I145" s="8" t="n"/>
      <c r="J145" s="8" t="n"/>
      <c r="K145" s="8" t="n"/>
      <c r="L145" s="8" t="n"/>
      <c r="M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7">
        <f>IF(OR(F146="",G146=""),"",(G146-F146)*1440)</f>
        <v/>
      </c>
      <c r="I146" s="8" t="n"/>
      <c r="J146" s="8" t="n"/>
      <c r="K146" s="8" t="n"/>
      <c r="L146" s="8" t="n"/>
      <c r="M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7">
        <f>IF(OR(F147="",G147=""),"",(G147-F147)*1440)</f>
        <v/>
      </c>
      <c r="I147" s="8" t="n"/>
      <c r="J147" s="8" t="n"/>
      <c r="K147" s="8" t="n"/>
      <c r="L147" s="8" t="n"/>
      <c r="M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7">
        <f>IF(OR(F148="",G148=""),"",(G148-F148)*1440)</f>
        <v/>
      </c>
      <c r="I148" s="8" t="n"/>
      <c r="J148" s="8" t="n"/>
      <c r="K148" s="8" t="n"/>
      <c r="L148" s="8" t="n"/>
      <c r="M148" s="8" t="n"/>
      <c r="O148" s="8" t="n"/>
      <c r="P148" s="8" t="n"/>
      <c r="Q148" s="8" t="n"/>
      <c r="R148" s="8" t="n"/>
      <c r="S148" s="8" t="n"/>
      <c r="T148" s="8" t="n"/>
      <c r="U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7">
        <f>IF(OR(F149="",G149=""),"",(G149-F149)*1440)</f>
        <v/>
      </c>
      <c r="I149" s="8" t="n"/>
      <c r="J149" s="8" t="n"/>
      <c r="K149" s="8" t="n"/>
      <c r="L149" s="8" t="n"/>
      <c r="M149" s="8" t="n"/>
      <c r="O149" s="8" t="n"/>
      <c r="P149" s="8" t="n"/>
      <c r="Q149" s="8" t="n"/>
      <c r="R149" s="8" t="n"/>
      <c r="S149" s="8" t="n"/>
      <c r="T149" s="8" t="n"/>
      <c r="U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7">
        <f>IF(OR(F150="",G150=""),"",(G150-F150)*1440)</f>
        <v/>
      </c>
      <c r="I150" s="8" t="n"/>
      <c r="J150" s="8" t="n"/>
      <c r="K150" s="8" t="n"/>
      <c r="L150" s="8" t="n"/>
      <c r="M150" s="8" t="n"/>
      <c r="O150" s="8" t="n"/>
      <c r="P150" s="8" t="n"/>
      <c r="Q150" s="8" t="n"/>
      <c r="R150" s="8" t="n"/>
      <c r="S150" s="8" t="n"/>
      <c r="T150" s="8" t="n"/>
      <c r="U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7">
        <f>IF(OR(F151="",G151=""),"",(G151-F151)*1440)</f>
        <v/>
      </c>
      <c r="I151" s="8" t="n"/>
      <c r="J151" s="8" t="n"/>
      <c r="K151" s="8" t="n"/>
      <c r="L151" s="8" t="n"/>
      <c r="M151" s="8" t="n"/>
      <c r="O151" s="8" t="n"/>
      <c r="P151" s="8" t="n"/>
      <c r="Q151" s="8" t="n"/>
      <c r="R151" s="8" t="n"/>
      <c r="S151" s="8" t="n"/>
      <c r="T151" s="8" t="n"/>
      <c r="U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7">
        <f>IF(OR(F152="",G152=""),"",(G152-F152)*1440)</f>
        <v/>
      </c>
      <c r="I152" s="8" t="n"/>
      <c r="J152" s="8" t="n"/>
      <c r="K152" s="8" t="n"/>
      <c r="L152" s="8" t="n"/>
      <c r="M152" s="8" t="n"/>
      <c r="O152" s="8" t="n"/>
      <c r="P152" s="8" t="n"/>
      <c r="Q152" s="8" t="n"/>
      <c r="R152" s="8" t="n"/>
      <c r="S152" s="8" t="n"/>
      <c r="T152" s="8" t="n"/>
      <c r="U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7">
        <f>IF(OR(F153="",G153=""),"",(G153-F153)*1440)</f>
        <v/>
      </c>
      <c r="I153" s="8" t="n"/>
      <c r="J153" s="8" t="n"/>
      <c r="K153" s="8" t="n"/>
      <c r="L153" s="8" t="n"/>
      <c r="M153" s="8" t="n"/>
      <c r="O153" s="8" t="n"/>
      <c r="P153" s="8" t="n"/>
      <c r="Q153" s="8" t="n"/>
      <c r="R153" s="8" t="n"/>
      <c r="S153" s="8" t="n"/>
      <c r="T153" s="8" t="n"/>
      <c r="U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7">
        <f>IF(OR(F154="",G154=""),"",(G154-F154)*1440)</f>
        <v/>
      </c>
      <c r="I154" s="8" t="n"/>
      <c r="J154" s="8" t="n"/>
      <c r="K154" s="8" t="n"/>
      <c r="L154" s="8" t="n"/>
      <c r="M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7">
        <f>IF(OR(F155="",G155=""),"",(G155-F155)*1440)</f>
        <v/>
      </c>
      <c r="I155" s="8" t="n"/>
      <c r="J155" s="8" t="n"/>
      <c r="K155" s="8" t="n"/>
      <c r="L155" s="8" t="n"/>
      <c r="M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7">
        <f>IF(OR(F156="",G156=""),"",(G156-F156)*1440)</f>
        <v/>
      </c>
      <c r="I156" s="8" t="n"/>
      <c r="J156" s="8" t="n"/>
      <c r="K156" s="8" t="n"/>
      <c r="L156" s="8" t="n"/>
      <c r="M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7">
        <f>IF(OR(F157="",G157=""),"",(G157-F157)*1440)</f>
        <v/>
      </c>
      <c r="I157" s="8" t="n"/>
      <c r="J157" s="8" t="n"/>
      <c r="K157" s="8" t="n"/>
      <c r="L157" s="8" t="n"/>
      <c r="M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7">
        <f>IF(OR(F158="",G158=""),"",(G158-F158)*1440)</f>
        <v/>
      </c>
      <c r="I158" s="8" t="n"/>
      <c r="J158" s="8" t="n"/>
      <c r="K158" s="8" t="n"/>
      <c r="L158" s="8" t="n"/>
      <c r="M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7">
        <f>IF(OR(F159="",G159=""),"",(G159-F159)*1440)</f>
        <v/>
      </c>
      <c r="I159" s="8" t="n"/>
      <c r="J159" s="8" t="n"/>
      <c r="K159" s="8" t="n"/>
      <c r="L159" s="8" t="n"/>
      <c r="M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7">
        <f>IF(OR(F160="",G160=""),"",(G160-F160)*1440)</f>
        <v/>
      </c>
      <c r="I160" s="8" t="n"/>
      <c r="J160" s="8" t="n"/>
      <c r="K160" s="8" t="n"/>
      <c r="L160" s="8" t="n"/>
      <c r="M160" s="8" t="n"/>
      <c r="O160" s="8" t="n"/>
      <c r="P160" s="8" t="n"/>
      <c r="Q160" s="8" t="n"/>
      <c r="R160" s="8" t="n"/>
      <c r="S160" s="8" t="n"/>
      <c r="T160" s="8" t="n"/>
      <c r="U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7">
        <f>IF(OR(F161="",G161=""),"",(G161-F161)*1440)</f>
        <v/>
      </c>
      <c r="I161" s="8" t="n"/>
      <c r="J161" s="8" t="n"/>
      <c r="K161" s="8" t="n"/>
      <c r="L161" s="8" t="n"/>
      <c r="M161" s="8" t="n"/>
      <c r="O161" s="8" t="n"/>
      <c r="P161" s="8" t="n"/>
      <c r="Q161" s="8" t="n"/>
      <c r="R161" s="8" t="n"/>
      <c r="S161" s="8" t="n"/>
      <c r="T161" s="8" t="n"/>
      <c r="U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7">
        <f>IF(OR(F162="",G162=""),"",(G162-F162)*1440)</f>
        <v/>
      </c>
      <c r="I162" s="8" t="n"/>
      <c r="J162" s="8" t="n"/>
      <c r="K162" s="8" t="n"/>
      <c r="L162" s="8" t="n"/>
      <c r="M162" s="8" t="n"/>
      <c r="O162" s="8" t="n"/>
      <c r="P162" s="8" t="n"/>
      <c r="Q162" s="8" t="n"/>
      <c r="R162" s="8" t="n"/>
      <c r="S162" s="8" t="n"/>
      <c r="T162" s="8" t="n"/>
      <c r="U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7">
        <f>IF(OR(F163="",G163=""),"",(G163-F163)*1440)</f>
        <v/>
      </c>
      <c r="I163" s="8" t="n"/>
      <c r="J163" s="8" t="n"/>
      <c r="K163" s="8" t="n"/>
      <c r="L163" s="8" t="n"/>
      <c r="M163" s="8" t="n"/>
      <c r="O163" s="8" t="n"/>
      <c r="P163" s="8" t="n"/>
      <c r="Q163" s="8" t="n"/>
      <c r="R163" s="8" t="n"/>
      <c r="S163" s="8" t="n"/>
      <c r="T163" s="8" t="n"/>
      <c r="U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7">
        <f>IF(OR(F164="",G164=""),"",(G164-F164)*1440)</f>
        <v/>
      </c>
      <c r="I164" s="8" t="n"/>
      <c r="J164" s="8" t="n"/>
      <c r="K164" s="8" t="n"/>
      <c r="L164" s="8" t="n"/>
      <c r="M164" s="8" t="n"/>
      <c r="O164" s="8" t="n"/>
      <c r="P164" s="8" t="n"/>
      <c r="Q164" s="8" t="n"/>
      <c r="R164" s="8" t="n"/>
      <c r="S164" s="8" t="n"/>
      <c r="T164" s="8" t="n"/>
      <c r="U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7">
        <f>IF(OR(F165="",G165=""),"",(G165-F165)*1440)</f>
        <v/>
      </c>
      <c r="I165" s="8" t="n"/>
      <c r="J165" s="8" t="n"/>
      <c r="K165" s="8" t="n"/>
      <c r="L165" s="8" t="n"/>
      <c r="M165" s="8" t="n"/>
      <c r="O165" s="8" t="n"/>
      <c r="P165" s="8" t="n"/>
      <c r="Q165" s="8" t="n"/>
      <c r="R165" s="8" t="n"/>
      <c r="S165" s="8" t="n"/>
      <c r="T165" s="8" t="n"/>
      <c r="U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7">
        <f>IF(OR(F166="",G166=""),"",(G166-F166)*1440)</f>
        <v/>
      </c>
      <c r="I166" s="8" t="n"/>
      <c r="J166" s="8" t="n"/>
      <c r="K166" s="8" t="n"/>
      <c r="L166" s="8" t="n"/>
      <c r="M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7">
        <f>IF(OR(F167="",G167=""),"",(G167-F167)*1440)</f>
        <v/>
      </c>
      <c r="I167" s="8" t="n"/>
      <c r="J167" s="8" t="n"/>
      <c r="K167" s="8" t="n"/>
      <c r="L167" s="8" t="n"/>
      <c r="M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7">
        <f>IF(OR(F168="",G168=""),"",(G168-F168)*1440)</f>
        <v/>
      </c>
      <c r="I168" s="8" t="n"/>
      <c r="J168" s="8" t="n"/>
      <c r="K168" s="8" t="n"/>
      <c r="L168" s="8" t="n"/>
      <c r="M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7">
        <f>IF(OR(F169="",G169=""),"",(G169-F169)*1440)</f>
        <v/>
      </c>
      <c r="I169" s="8" t="n"/>
      <c r="J169" s="8" t="n"/>
      <c r="K169" s="8" t="n"/>
      <c r="L169" s="8" t="n"/>
      <c r="M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7">
        <f>IF(OR(F170="",G170=""),"",(G170-F170)*1440)</f>
        <v/>
      </c>
      <c r="I170" s="8" t="n"/>
      <c r="J170" s="8" t="n"/>
      <c r="K170" s="8" t="n"/>
      <c r="L170" s="8" t="n"/>
      <c r="M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7">
        <f>IF(OR(F171="",G171=""),"",(G171-F171)*1440)</f>
        <v/>
      </c>
      <c r="I171" s="8" t="n"/>
      <c r="J171" s="8" t="n"/>
      <c r="K171" s="8" t="n"/>
      <c r="L171" s="8" t="n"/>
      <c r="M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7">
        <f>IF(OR(F172="",G172=""),"",(G172-F172)*1440)</f>
        <v/>
      </c>
      <c r="I172" s="8" t="n"/>
      <c r="J172" s="8" t="n"/>
      <c r="K172" s="8" t="n"/>
      <c r="L172" s="8" t="n"/>
      <c r="M172" s="8" t="n"/>
      <c r="O172" s="8" t="n"/>
      <c r="P172" s="8" t="n"/>
      <c r="Q172" s="8" t="n"/>
      <c r="R172" s="8" t="n"/>
      <c r="S172" s="8" t="n"/>
      <c r="T172" s="8" t="n"/>
      <c r="U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7">
        <f>IF(OR(F173="",G173=""),"",(G173-F173)*1440)</f>
        <v/>
      </c>
      <c r="I173" s="8" t="n"/>
      <c r="J173" s="8" t="n"/>
      <c r="K173" s="8" t="n"/>
      <c r="L173" s="8" t="n"/>
      <c r="M173" s="8" t="n"/>
      <c r="O173" s="8" t="n"/>
      <c r="P173" s="8" t="n"/>
      <c r="Q173" s="8" t="n"/>
      <c r="R173" s="8" t="n"/>
      <c r="S173" s="8" t="n"/>
      <c r="T173" s="8" t="n"/>
      <c r="U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7">
        <f>IF(OR(F174="",G174=""),"",(G174-F174)*1440)</f>
        <v/>
      </c>
      <c r="I174" s="8" t="n"/>
      <c r="J174" s="8" t="n"/>
      <c r="K174" s="8" t="n"/>
      <c r="L174" s="8" t="n"/>
      <c r="M174" s="8" t="n"/>
      <c r="O174" s="8" t="n"/>
      <c r="P174" s="8" t="n"/>
      <c r="Q174" s="8" t="n"/>
      <c r="R174" s="8" t="n"/>
      <c r="S174" s="8" t="n"/>
      <c r="T174" s="8" t="n"/>
      <c r="U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7">
        <f>IF(OR(F175="",G175=""),"",(G175-F175)*1440)</f>
        <v/>
      </c>
      <c r="I175" s="8" t="n"/>
      <c r="J175" s="8" t="n"/>
      <c r="K175" s="8" t="n"/>
      <c r="L175" s="8" t="n"/>
      <c r="M175" s="8" t="n"/>
      <c r="O175" s="8" t="n"/>
      <c r="P175" s="8" t="n"/>
      <c r="Q175" s="8" t="n"/>
      <c r="R175" s="8" t="n"/>
      <c r="S175" s="8" t="n"/>
      <c r="T175" s="8" t="n"/>
      <c r="U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7">
        <f>IF(OR(F176="",G176=""),"",(G176-F176)*1440)</f>
        <v/>
      </c>
      <c r="I176" s="8" t="n"/>
      <c r="J176" s="8" t="n"/>
      <c r="K176" s="8" t="n"/>
      <c r="L176" s="8" t="n"/>
      <c r="M176" s="8" t="n"/>
      <c r="O176" s="8" t="n"/>
      <c r="P176" s="8" t="n"/>
      <c r="Q176" s="8" t="n"/>
      <c r="R176" s="8" t="n"/>
      <c r="S176" s="8" t="n"/>
      <c r="T176" s="8" t="n"/>
      <c r="U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7">
        <f>IF(OR(F177="",G177=""),"",(G177-F177)*1440)</f>
        <v/>
      </c>
      <c r="I177" s="8" t="n"/>
      <c r="J177" s="8" t="n"/>
      <c r="K177" s="8" t="n"/>
      <c r="L177" s="8" t="n"/>
      <c r="M177" s="8" t="n"/>
      <c r="O177" s="8" t="n"/>
      <c r="P177" s="8" t="n"/>
      <c r="Q177" s="8" t="n"/>
      <c r="R177" s="8" t="n"/>
      <c r="S177" s="8" t="n"/>
      <c r="T177" s="8" t="n"/>
      <c r="U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7">
        <f>IF(OR(F178="",G178=""),"",(G178-F178)*1440)</f>
        <v/>
      </c>
      <c r="I178" s="8" t="n"/>
      <c r="J178" s="8" t="n"/>
      <c r="K178" s="8" t="n"/>
      <c r="L178" s="8" t="n"/>
      <c r="M178" s="8" t="n"/>
      <c r="O178" s="8" t="n"/>
      <c r="P178" s="8" t="n"/>
      <c r="Q178" s="8" t="n"/>
      <c r="R178" s="8" t="n"/>
      <c r="S178" s="8" t="n"/>
      <c r="T178" s="8" t="n"/>
      <c r="U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7">
        <f>IF(OR(F179="",G179=""),"",(G179-F179)*1440)</f>
        <v/>
      </c>
      <c r="I179" s="8" t="n"/>
      <c r="J179" s="8" t="n"/>
      <c r="K179" s="8" t="n"/>
      <c r="L179" s="8" t="n"/>
      <c r="M179" s="8" t="n"/>
      <c r="O179" s="8" t="n"/>
      <c r="P179" s="8" t="n"/>
      <c r="Q179" s="8" t="n"/>
      <c r="R179" s="8" t="n"/>
      <c r="S179" s="8" t="n"/>
      <c r="T179" s="8" t="n"/>
      <c r="U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7">
        <f>IF(OR(F180="",G180=""),"",(G180-F180)*1440)</f>
        <v/>
      </c>
      <c r="I180" s="8" t="n"/>
      <c r="J180" s="8" t="n"/>
      <c r="K180" s="8" t="n"/>
      <c r="L180" s="8" t="n"/>
      <c r="M180" s="8" t="n"/>
      <c r="O180" s="8" t="n"/>
      <c r="P180" s="8" t="n"/>
      <c r="Q180" s="8" t="n"/>
      <c r="R180" s="8" t="n"/>
      <c r="S180" s="8" t="n"/>
      <c r="T180" s="8" t="n"/>
      <c r="U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7">
        <f>IF(OR(F181="",G181=""),"",(G181-F181)*1440)</f>
        <v/>
      </c>
      <c r="I181" s="8" t="n"/>
      <c r="J181" s="8" t="n"/>
      <c r="K181" s="8" t="n"/>
      <c r="L181" s="8" t="n"/>
      <c r="M181" s="8" t="n"/>
      <c r="O181" s="8" t="n"/>
      <c r="P181" s="8" t="n"/>
      <c r="Q181" s="8" t="n"/>
      <c r="R181" s="8" t="n"/>
      <c r="S181" s="8" t="n"/>
      <c r="T181" s="8" t="n"/>
      <c r="U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7">
        <f>IF(OR(F182="",G182=""),"",(G182-F182)*1440)</f>
        <v/>
      </c>
      <c r="I182" s="8" t="n"/>
      <c r="J182" s="8" t="n"/>
      <c r="K182" s="8" t="n"/>
      <c r="L182" s="8" t="n"/>
      <c r="M182" s="8" t="n"/>
      <c r="O182" s="8" t="n"/>
      <c r="P182" s="8" t="n"/>
      <c r="Q182" s="8" t="n"/>
      <c r="R182" s="8" t="n"/>
      <c r="S182" s="8" t="n"/>
      <c r="T182" s="8" t="n"/>
      <c r="U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7">
        <f>IF(OR(F183="",G183=""),"",(G183-F183)*1440)</f>
        <v/>
      </c>
      <c r="I183" s="8" t="n"/>
      <c r="J183" s="8" t="n"/>
      <c r="K183" s="8" t="n"/>
      <c r="L183" s="8" t="n"/>
      <c r="M183" s="8" t="n"/>
      <c r="O183" s="8" t="n"/>
      <c r="P183" s="8" t="n"/>
      <c r="Q183" s="8" t="n"/>
      <c r="R183" s="8" t="n"/>
      <c r="S183" s="8" t="n"/>
      <c r="T183" s="8" t="n"/>
      <c r="U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7">
        <f>IF(OR(F184="",G184=""),"",(G184-F184)*1440)</f>
        <v/>
      </c>
      <c r="I184" s="8" t="n"/>
      <c r="J184" s="8" t="n"/>
      <c r="K184" s="8" t="n"/>
      <c r="L184" s="8" t="n"/>
      <c r="M184" s="8" t="n"/>
      <c r="O184" s="8" t="n"/>
      <c r="P184" s="8" t="n"/>
      <c r="Q184" s="8" t="n"/>
      <c r="R184" s="8" t="n"/>
      <c r="S184" s="8" t="n"/>
      <c r="T184" s="8" t="n"/>
      <c r="U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7">
        <f>IF(OR(F185="",G185=""),"",(G185-F185)*1440)</f>
        <v/>
      </c>
      <c r="I185" s="8" t="n"/>
      <c r="J185" s="8" t="n"/>
      <c r="K185" s="8" t="n"/>
      <c r="L185" s="8" t="n"/>
      <c r="M185" s="8" t="n"/>
      <c r="O185" s="8" t="n"/>
      <c r="P185" s="8" t="n"/>
      <c r="Q185" s="8" t="n"/>
      <c r="R185" s="8" t="n"/>
      <c r="S185" s="8" t="n"/>
      <c r="T185" s="8" t="n"/>
      <c r="U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7">
        <f>IF(OR(F186="",G186=""),"",(G186-F186)*1440)</f>
        <v/>
      </c>
      <c r="I186" s="8" t="n"/>
      <c r="J186" s="8" t="n"/>
      <c r="K186" s="8" t="n"/>
      <c r="L186" s="8" t="n"/>
      <c r="M186" s="8" t="n"/>
      <c r="O186" s="8" t="n"/>
      <c r="P186" s="8" t="n"/>
      <c r="Q186" s="8" t="n"/>
      <c r="R186" s="8" t="n"/>
      <c r="S186" s="8" t="n"/>
      <c r="T186" s="8" t="n"/>
      <c r="U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7">
        <f>IF(OR(F187="",G187=""),"",(G187-F187)*1440)</f>
        <v/>
      </c>
      <c r="I187" s="8" t="n"/>
      <c r="J187" s="8" t="n"/>
      <c r="K187" s="8" t="n"/>
      <c r="L187" s="8" t="n"/>
      <c r="M187" s="8" t="n"/>
      <c r="O187" s="8" t="n"/>
      <c r="P187" s="8" t="n"/>
      <c r="Q187" s="8" t="n"/>
      <c r="R187" s="8" t="n"/>
      <c r="S187" s="8" t="n"/>
      <c r="T187" s="8" t="n"/>
      <c r="U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7">
        <f>IF(OR(F188="",G188=""),"",(G188-F188)*1440)</f>
        <v/>
      </c>
      <c r="I188" s="8" t="n"/>
      <c r="J188" s="8" t="n"/>
      <c r="K188" s="8" t="n"/>
      <c r="L188" s="8" t="n"/>
      <c r="M188" s="8" t="n"/>
      <c r="O188" s="8" t="n"/>
      <c r="P188" s="8" t="n"/>
      <c r="Q188" s="8" t="n"/>
      <c r="R188" s="8" t="n"/>
      <c r="S188" s="8" t="n"/>
      <c r="T188" s="8" t="n"/>
      <c r="U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7">
        <f>IF(OR(F189="",G189=""),"",(G189-F189)*1440)</f>
        <v/>
      </c>
      <c r="I189" s="8" t="n"/>
      <c r="J189" s="8" t="n"/>
      <c r="K189" s="8" t="n"/>
      <c r="L189" s="8" t="n"/>
      <c r="M189" s="8" t="n"/>
      <c r="O189" s="8" t="n"/>
      <c r="P189" s="8" t="n"/>
      <c r="Q189" s="8" t="n"/>
      <c r="R189" s="8" t="n"/>
      <c r="S189" s="8" t="n"/>
      <c r="T189" s="8" t="n"/>
      <c r="U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7">
        <f>IF(OR(F190="",G190=""),"",(G190-F190)*1440)</f>
        <v/>
      </c>
      <c r="I190" s="8" t="n"/>
      <c r="J190" s="8" t="n"/>
      <c r="K190" s="8" t="n"/>
      <c r="L190" s="8" t="n"/>
      <c r="M190" s="8" t="n"/>
      <c r="O190" s="8" t="n"/>
      <c r="P190" s="8" t="n"/>
      <c r="Q190" s="8" t="n"/>
      <c r="R190" s="8" t="n"/>
      <c r="S190" s="8" t="n"/>
      <c r="T190" s="8" t="n"/>
      <c r="U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7">
        <f>IF(OR(F191="",G191=""),"",(G191-F191)*1440)</f>
        <v/>
      </c>
      <c r="I191" s="8" t="n"/>
      <c r="J191" s="8" t="n"/>
      <c r="K191" s="8" t="n"/>
      <c r="L191" s="8" t="n"/>
      <c r="M191" s="8" t="n"/>
      <c r="O191" s="8" t="n"/>
      <c r="P191" s="8" t="n"/>
      <c r="Q191" s="8" t="n"/>
      <c r="R191" s="8" t="n"/>
      <c r="S191" s="8" t="n"/>
      <c r="T191" s="8" t="n"/>
      <c r="U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7">
        <f>IF(OR(F192="",G192=""),"",(G192-F192)*1440)</f>
        <v/>
      </c>
      <c r="I192" s="8" t="n"/>
      <c r="J192" s="8" t="n"/>
      <c r="K192" s="8" t="n"/>
      <c r="L192" s="8" t="n"/>
      <c r="M192" s="8" t="n"/>
      <c r="O192" s="8" t="n"/>
      <c r="P192" s="8" t="n"/>
      <c r="Q192" s="8" t="n"/>
      <c r="R192" s="8" t="n"/>
      <c r="S192" s="8" t="n"/>
      <c r="T192" s="8" t="n"/>
      <c r="U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7">
        <f>IF(OR(F193="",G193=""),"",(G193-F193)*1440)</f>
        <v/>
      </c>
      <c r="I193" s="8" t="n"/>
      <c r="J193" s="8" t="n"/>
      <c r="K193" s="8" t="n"/>
      <c r="L193" s="8" t="n"/>
      <c r="M193" s="8" t="n"/>
      <c r="O193" s="8" t="n"/>
      <c r="P193" s="8" t="n"/>
      <c r="Q193" s="8" t="n"/>
      <c r="R193" s="8" t="n"/>
      <c r="S193" s="8" t="n"/>
      <c r="T193" s="8" t="n"/>
      <c r="U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7">
        <f>IF(OR(F194="",G194=""),"",(G194-F194)*1440)</f>
        <v/>
      </c>
      <c r="I194" s="8" t="n"/>
      <c r="J194" s="8" t="n"/>
      <c r="K194" s="8" t="n"/>
      <c r="L194" s="8" t="n"/>
      <c r="M194" s="8" t="n"/>
      <c r="O194" s="8" t="n"/>
      <c r="P194" s="8" t="n"/>
      <c r="Q194" s="8" t="n"/>
      <c r="R194" s="8" t="n"/>
      <c r="S194" s="8" t="n"/>
      <c r="T194" s="8" t="n"/>
      <c r="U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7">
        <f>IF(OR(F195="",G195=""),"",(G195-F195)*1440)</f>
        <v/>
      </c>
      <c r="I195" s="8" t="n"/>
      <c r="J195" s="8" t="n"/>
      <c r="K195" s="8" t="n"/>
      <c r="L195" s="8" t="n"/>
      <c r="M195" s="8" t="n"/>
      <c r="O195" s="8" t="n"/>
      <c r="P195" s="8" t="n"/>
      <c r="Q195" s="8" t="n"/>
      <c r="R195" s="8" t="n"/>
      <c r="S195" s="8" t="n"/>
      <c r="T195" s="8" t="n"/>
      <c r="U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7">
        <f>IF(OR(F196="",G196=""),"",(G196-F196)*1440)</f>
        <v/>
      </c>
      <c r="I196" s="8" t="n"/>
      <c r="J196" s="8" t="n"/>
      <c r="K196" s="8" t="n"/>
      <c r="L196" s="8" t="n"/>
      <c r="M196" s="8" t="n"/>
      <c r="O196" s="8" t="n"/>
      <c r="P196" s="8" t="n"/>
      <c r="Q196" s="8" t="n"/>
      <c r="R196" s="8" t="n"/>
      <c r="S196" s="8" t="n"/>
      <c r="T196" s="8" t="n"/>
      <c r="U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7">
        <f>IF(OR(F197="",G197=""),"",(G197-F197)*1440)</f>
        <v/>
      </c>
      <c r="I197" s="8" t="n"/>
      <c r="J197" s="8" t="n"/>
      <c r="K197" s="8" t="n"/>
      <c r="L197" s="8" t="n"/>
      <c r="M197" s="8" t="n"/>
      <c r="O197" s="8" t="n"/>
      <c r="P197" s="8" t="n"/>
      <c r="Q197" s="8" t="n"/>
      <c r="R197" s="8" t="n"/>
      <c r="S197" s="8" t="n"/>
      <c r="T197" s="8" t="n"/>
      <c r="U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7">
        <f>IF(OR(F198="",G198=""),"",(G198-F198)*1440)</f>
        <v/>
      </c>
      <c r="I198" s="8" t="n"/>
      <c r="J198" s="8" t="n"/>
      <c r="K198" s="8" t="n"/>
      <c r="L198" s="8" t="n"/>
      <c r="M198" s="8" t="n"/>
      <c r="O198" s="8" t="n"/>
      <c r="P198" s="8" t="n"/>
      <c r="Q198" s="8" t="n"/>
      <c r="R198" s="8" t="n"/>
      <c r="S198" s="8" t="n"/>
      <c r="T198" s="8" t="n"/>
      <c r="U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7">
        <f>IF(OR(F199="",G199=""),"",(G199-F199)*1440)</f>
        <v/>
      </c>
      <c r="I199" s="8" t="n"/>
      <c r="J199" s="8" t="n"/>
      <c r="K199" s="8" t="n"/>
      <c r="L199" s="8" t="n"/>
      <c r="M199" s="8" t="n"/>
      <c r="O199" s="8" t="n"/>
      <c r="P199" s="8" t="n"/>
      <c r="Q199" s="8" t="n"/>
      <c r="R199" s="8" t="n"/>
      <c r="S199" s="8" t="n"/>
      <c r="T199" s="8" t="n"/>
      <c r="U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7">
        <f>IF(OR(F200="",G200=""),"",(G200-F200)*1440)</f>
        <v/>
      </c>
      <c r="I200" s="8" t="n"/>
      <c r="J200" s="8" t="n"/>
      <c r="K200" s="8" t="n"/>
      <c r="L200" s="8" t="n"/>
      <c r="M200" s="8" t="n"/>
      <c r="O200" s="8" t="n"/>
      <c r="P200" s="8" t="n"/>
      <c r="Q200" s="8" t="n"/>
      <c r="R200" s="8" t="n"/>
      <c r="S200" s="8" t="n"/>
      <c r="T200" s="8" t="n"/>
      <c r="U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7">
        <f>IF(OR(F201="",G201=""),"",(G201-F201)*1440)</f>
        <v/>
      </c>
      <c r="I201" s="8" t="n"/>
      <c r="J201" s="8" t="n"/>
      <c r="K201" s="8" t="n"/>
      <c r="L201" s="8" t="n"/>
      <c r="M201" s="8" t="n"/>
      <c r="O201" s="8" t="n"/>
      <c r="P201" s="8" t="n"/>
      <c r="Q201" s="8" t="n"/>
      <c r="R201" s="8" t="n"/>
      <c r="S201" s="8" t="n"/>
      <c r="T201" s="8" t="n"/>
      <c r="U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7">
        <f>IF(OR(F202="",G202=""),"",(G202-F202)*1440)</f>
        <v/>
      </c>
      <c r="I202" s="8" t="n"/>
      <c r="J202" s="8" t="n"/>
      <c r="K202" s="8" t="n"/>
      <c r="L202" s="8" t="n"/>
      <c r="M202" s="8" t="n"/>
      <c r="O202" s="8" t="n"/>
      <c r="P202" s="8" t="n"/>
      <c r="Q202" s="8" t="n"/>
      <c r="R202" s="8" t="n"/>
      <c r="S202" s="8" t="n"/>
      <c r="T202" s="8" t="n"/>
      <c r="U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7">
        <f>IF(OR(F203="",G203=""),"",(G203-F203)*1440)</f>
        <v/>
      </c>
      <c r="I203" s="8" t="n"/>
      <c r="J203" s="8" t="n"/>
      <c r="K203" s="8" t="n"/>
      <c r="L203" s="8" t="n"/>
      <c r="M203" s="8" t="n"/>
      <c r="O203" s="8" t="n"/>
      <c r="P203" s="8" t="n"/>
      <c r="Q203" s="8" t="n"/>
      <c r="R203" s="8" t="n"/>
      <c r="S203" s="8" t="n"/>
      <c r="T203" s="8" t="n"/>
      <c r="U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7">
        <f>IF(OR(F204="",G204=""),"",(G204-F204)*1440)</f>
        <v/>
      </c>
      <c r="I204" s="8" t="n"/>
      <c r="J204" s="8" t="n"/>
      <c r="K204" s="8" t="n"/>
      <c r="L204" s="8" t="n"/>
      <c r="M204" s="8" t="n"/>
      <c r="O204" s="8" t="n"/>
      <c r="P204" s="8" t="n"/>
      <c r="Q204" s="8" t="n"/>
      <c r="R204" s="8" t="n"/>
      <c r="S204" s="8" t="n"/>
      <c r="T204" s="8" t="n"/>
      <c r="U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7">
        <f>IF(OR(F205="",G205=""),"",(G205-F205)*1440)</f>
        <v/>
      </c>
      <c r="I205" s="8" t="n"/>
      <c r="J205" s="8" t="n"/>
      <c r="K205" s="8" t="n"/>
      <c r="L205" s="8" t="n"/>
      <c r="M205" s="8" t="n"/>
      <c r="O205" s="8" t="n"/>
      <c r="P205" s="8" t="n"/>
      <c r="Q205" s="8" t="n"/>
      <c r="R205" s="8" t="n"/>
      <c r="S205" s="8" t="n"/>
      <c r="T205" s="8" t="n"/>
      <c r="U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7">
        <f>IF(OR(F206="",G206=""),"",(G206-F206)*1440)</f>
        <v/>
      </c>
      <c r="I206" s="8" t="n"/>
      <c r="J206" s="8" t="n"/>
      <c r="K206" s="8" t="n"/>
      <c r="L206" s="8" t="n"/>
      <c r="M206" s="8" t="n"/>
      <c r="O206" s="8" t="n"/>
      <c r="P206" s="8" t="n"/>
      <c r="Q206" s="8" t="n"/>
      <c r="R206" s="8" t="n"/>
      <c r="S206" s="8" t="n"/>
      <c r="T206" s="8" t="n"/>
      <c r="U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7">
        <f>IF(OR(F207="",G207=""),"",(G207-F207)*1440)</f>
        <v/>
      </c>
      <c r="I207" s="8" t="n"/>
      <c r="J207" s="8" t="n"/>
      <c r="K207" s="8" t="n"/>
      <c r="L207" s="8" t="n"/>
      <c r="M207" s="8" t="n"/>
      <c r="O207" s="8" t="n"/>
      <c r="P207" s="8" t="n"/>
      <c r="Q207" s="8" t="n"/>
      <c r="R207" s="8" t="n"/>
      <c r="S207" s="8" t="n"/>
      <c r="T207" s="8" t="n"/>
      <c r="U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7">
        <f>IF(OR(F208="",G208=""),"",(G208-F208)*1440)</f>
        <v/>
      </c>
      <c r="I208" s="8" t="n"/>
      <c r="J208" s="8" t="n"/>
      <c r="K208" s="8" t="n"/>
      <c r="L208" s="8" t="n"/>
      <c r="M208" s="8" t="n"/>
      <c r="O208" s="8" t="n"/>
      <c r="P208" s="8" t="n"/>
      <c r="Q208" s="8" t="n"/>
      <c r="R208" s="8" t="n"/>
      <c r="S208" s="8" t="n"/>
      <c r="T208" s="8" t="n"/>
      <c r="U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7">
        <f>IF(OR(F209="",G209=""),"",(G209-F209)*1440)</f>
        <v/>
      </c>
      <c r="I209" s="8" t="n"/>
      <c r="J209" s="8" t="n"/>
      <c r="K209" s="8" t="n"/>
      <c r="L209" s="8" t="n"/>
      <c r="M209" s="8" t="n"/>
      <c r="O209" s="8" t="n"/>
      <c r="P209" s="8" t="n"/>
      <c r="Q209" s="8" t="n"/>
      <c r="R209" s="8" t="n"/>
      <c r="S209" s="8" t="n"/>
      <c r="T209" s="8" t="n"/>
      <c r="U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7">
        <f>IF(OR(F210="",G210=""),"",(G210-F210)*1440)</f>
        <v/>
      </c>
      <c r="I210" s="8" t="n"/>
      <c r="J210" s="8" t="n"/>
      <c r="K210" s="8" t="n"/>
      <c r="L210" s="8" t="n"/>
      <c r="M210" s="8" t="n"/>
      <c r="O210" s="8" t="n"/>
      <c r="P210" s="8" t="n"/>
      <c r="Q210" s="8" t="n"/>
      <c r="R210" s="8" t="n"/>
      <c r="S210" s="8" t="n"/>
      <c r="T210" s="8" t="n"/>
      <c r="U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7">
        <f>IF(OR(F211="",G211=""),"",(G211-F211)*1440)</f>
        <v/>
      </c>
      <c r="I211" s="8" t="n"/>
      <c r="J211" s="8" t="n"/>
      <c r="K211" s="8" t="n"/>
      <c r="L211" s="8" t="n"/>
      <c r="M211" s="8" t="n"/>
      <c r="O211" s="8" t="n"/>
      <c r="P211" s="8" t="n"/>
      <c r="Q211" s="8" t="n"/>
      <c r="R211" s="8" t="n"/>
      <c r="S211" s="8" t="n"/>
      <c r="T211" s="8" t="n"/>
      <c r="U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7">
        <f>IF(OR(F212="",G212=""),"",(G212-F212)*1440)</f>
        <v/>
      </c>
      <c r="I212" s="8" t="n"/>
      <c r="J212" s="8" t="n"/>
      <c r="K212" s="8" t="n"/>
      <c r="L212" s="8" t="n"/>
      <c r="M212" s="8" t="n"/>
      <c r="O212" s="8" t="n"/>
      <c r="P212" s="8" t="n"/>
      <c r="Q212" s="8" t="n"/>
      <c r="R212" s="8" t="n"/>
      <c r="S212" s="8" t="n"/>
      <c r="T212" s="8" t="n"/>
      <c r="U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7">
        <f>IF(OR(F213="",G213=""),"",(G213-F213)*1440)</f>
        <v/>
      </c>
      <c r="I213" s="8" t="n"/>
      <c r="J213" s="8" t="n"/>
      <c r="K213" s="8" t="n"/>
      <c r="L213" s="8" t="n"/>
      <c r="M213" s="8" t="n"/>
      <c r="O213" s="8" t="n"/>
      <c r="P213" s="8" t="n"/>
      <c r="Q213" s="8" t="n"/>
      <c r="R213" s="8" t="n"/>
      <c r="S213" s="8" t="n"/>
      <c r="T213" s="8" t="n"/>
      <c r="U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7">
        <f>IF(OR(F214="",G214=""),"",(G214-F214)*1440)</f>
        <v/>
      </c>
      <c r="I214" s="8" t="n"/>
      <c r="J214" s="8" t="n"/>
      <c r="K214" s="8" t="n"/>
      <c r="L214" s="8" t="n"/>
      <c r="M214" s="8" t="n"/>
      <c r="O214" s="8" t="n"/>
      <c r="P214" s="8" t="n"/>
      <c r="Q214" s="8" t="n"/>
      <c r="R214" s="8" t="n"/>
      <c r="S214" s="8" t="n"/>
      <c r="T214" s="8" t="n"/>
      <c r="U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7">
        <f>IF(OR(F215="",G215=""),"",(G215-F215)*1440)</f>
        <v/>
      </c>
      <c r="I215" s="8" t="n"/>
      <c r="J215" s="8" t="n"/>
      <c r="K215" s="8" t="n"/>
      <c r="L215" s="8" t="n"/>
      <c r="M215" s="8" t="n"/>
      <c r="O215" s="8" t="n"/>
      <c r="P215" s="8" t="n"/>
      <c r="Q215" s="8" t="n"/>
      <c r="R215" s="8" t="n"/>
      <c r="S215" s="8" t="n"/>
      <c r="T215" s="8" t="n"/>
      <c r="U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7">
        <f>IF(OR(F216="",G216=""),"",(G216-F216)*1440)</f>
        <v/>
      </c>
      <c r="I216" s="8" t="n"/>
      <c r="J216" s="8" t="n"/>
      <c r="K216" s="8" t="n"/>
      <c r="L216" s="8" t="n"/>
      <c r="M216" s="8" t="n"/>
      <c r="O216" s="8" t="n"/>
      <c r="P216" s="8" t="n"/>
      <c r="Q216" s="8" t="n"/>
      <c r="R216" s="8" t="n"/>
      <c r="S216" s="8" t="n"/>
      <c r="T216" s="8" t="n"/>
      <c r="U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7">
        <f>IF(OR(F217="",G217=""),"",(G217-F217)*1440)</f>
        <v/>
      </c>
      <c r="I217" s="8" t="n"/>
      <c r="J217" s="8" t="n"/>
      <c r="K217" s="8" t="n"/>
      <c r="L217" s="8" t="n"/>
      <c r="M217" s="8" t="n"/>
      <c r="O217" s="8" t="n"/>
      <c r="P217" s="8" t="n"/>
      <c r="Q217" s="8" t="n"/>
      <c r="R217" s="8" t="n"/>
      <c r="S217" s="8" t="n"/>
      <c r="T217" s="8" t="n"/>
      <c r="U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7">
        <f>IF(OR(F218="",G218=""),"",(G218-F218)*1440)</f>
        <v/>
      </c>
      <c r="I218" s="8" t="n"/>
      <c r="J218" s="8" t="n"/>
      <c r="K218" s="8" t="n"/>
      <c r="L218" s="8" t="n"/>
      <c r="M218" s="8" t="n"/>
      <c r="O218" s="8" t="n"/>
      <c r="P218" s="8" t="n"/>
      <c r="Q218" s="8" t="n"/>
      <c r="R218" s="8" t="n"/>
      <c r="S218" s="8" t="n"/>
      <c r="T218" s="8" t="n"/>
      <c r="U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7">
        <f>IF(OR(F219="",G219=""),"",(G219-F219)*1440)</f>
        <v/>
      </c>
      <c r="I219" s="8" t="n"/>
      <c r="J219" s="8" t="n"/>
      <c r="K219" s="8" t="n"/>
      <c r="L219" s="8" t="n"/>
      <c r="M219" s="8" t="n"/>
      <c r="O219" s="8" t="n"/>
      <c r="P219" s="8" t="n"/>
      <c r="Q219" s="8" t="n"/>
      <c r="R219" s="8" t="n"/>
      <c r="S219" s="8" t="n"/>
      <c r="T219" s="8" t="n"/>
      <c r="U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7">
        <f>IF(OR(F220="",G220=""),"",(G220-F220)*1440)</f>
        <v/>
      </c>
      <c r="I220" s="8" t="n"/>
      <c r="J220" s="8" t="n"/>
      <c r="K220" s="8" t="n"/>
      <c r="L220" s="8" t="n"/>
      <c r="M220" s="8" t="n"/>
      <c r="O220" s="8" t="n"/>
      <c r="P220" s="8" t="n"/>
      <c r="Q220" s="8" t="n"/>
      <c r="R220" s="8" t="n"/>
      <c r="S220" s="8" t="n"/>
      <c r="T220" s="8" t="n"/>
      <c r="U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7">
        <f>IF(OR(F221="",G221=""),"",(G221-F221)*1440)</f>
        <v/>
      </c>
      <c r="I221" s="8" t="n"/>
      <c r="J221" s="8" t="n"/>
      <c r="K221" s="8" t="n"/>
      <c r="L221" s="8" t="n"/>
      <c r="M221" s="8" t="n"/>
      <c r="O221" s="8" t="n"/>
      <c r="P221" s="8" t="n"/>
      <c r="Q221" s="8" t="n"/>
      <c r="R221" s="8" t="n"/>
      <c r="S221" s="8" t="n"/>
      <c r="T221" s="8" t="n"/>
      <c r="U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7">
        <f>IF(OR(F222="",G222=""),"",(G222-F222)*1440)</f>
        <v/>
      </c>
      <c r="I222" s="8" t="n"/>
      <c r="J222" s="8" t="n"/>
      <c r="K222" s="8" t="n"/>
      <c r="L222" s="8" t="n"/>
      <c r="M222" s="8" t="n"/>
      <c r="O222" s="8" t="n"/>
      <c r="P222" s="8" t="n"/>
      <c r="Q222" s="8" t="n"/>
      <c r="R222" s="8" t="n"/>
      <c r="S222" s="8" t="n"/>
      <c r="T222" s="8" t="n"/>
      <c r="U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7">
        <f>IF(OR(F223="",G223=""),"",(G223-F223)*1440)</f>
        <v/>
      </c>
      <c r="I223" s="8" t="n"/>
      <c r="J223" s="8" t="n"/>
      <c r="K223" s="8" t="n"/>
      <c r="L223" s="8" t="n"/>
      <c r="M223" s="8" t="n"/>
      <c r="O223" s="8" t="n"/>
      <c r="P223" s="8" t="n"/>
      <c r="Q223" s="8" t="n"/>
      <c r="R223" s="8" t="n"/>
      <c r="S223" s="8" t="n"/>
      <c r="T223" s="8" t="n"/>
      <c r="U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7">
        <f>IF(OR(F224="",G224=""),"",(G224-F224)*1440)</f>
        <v/>
      </c>
      <c r="I224" s="8" t="n"/>
      <c r="J224" s="8" t="n"/>
      <c r="K224" s="8" t="n"/>
      <c r="L224" s="8" t="n"/>
      <c r="M224" s="8" t="n"/>
      <c r="O224" s="8" t="n"/>
      <c r="P224" s="8" t="n"/>
      <c r="Q224" s="8" t="n"/>
      <c r="R224" s="8" t="n"/>
      <c r="S224" s="8" t="n"/>
      <c r="T224" s="8" t="n"/>
      <c r="U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7">
        <f>IF(OR(F225="",G225=""),"",(G225-F225)*1440)</f>
        <v/>
      </c>
      <c r="I225" s="8" t="n"/>
      <c r="J225" s="8" t="n"/>
      <c r="K225" s="8" t="n"/>
      <c r="L225" s="8" t="n"/>
      <c r="M225" s="8" t="n"/>
      <c r="O225" s="8" t="n"/>
      <c r="P225" s="8" t="n"/>
      <c r="Q225" s="8" t="n"/>
      <c r="R225" s="8" t="n"/>
      <c r="S225" s="8" t="n"/>
      <c r="T225" s="8" t="n"/>
      <c r="U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7">
        <f>IF(OR(F226="",G226=""),"",(G226-F226)*1440)</f>
        <v/>
      </c>
      <c r="I226" s="8" t="n"/>
      <c r="J226" s="8" t="n"/>
      <c r="K226" s="8" t="n"/>
      <c r="L226" s="8" t="n"/>
      <c r="M226" s="8" t="n"/>
      <c r="O226" s="8" t="n"/>
      <c r="P226" s="8" t="n"/>
      <c r="Q226" s="8" t="n"/>
      <c r="R226" s="8" t="n"/>
      <c r="S226" s="8" t="n"/>
      <c r="T226" s="8" t="n"/>
      <c r="U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7">
        <f>IF(OR(F227="",G227=""),"",(G227-F227)*1440)</f>
        <v/>
      </c>
      <c r="I227" s="8" t="n"/>
      <c r="J227" s="8" t="n"/>
      <c r="K227" s="8" t="n"/>
      <c r="L227" s="8" t="n"/>
      <c r="M227" s="8" t="n"/>
      <c r="O227" s="8" t="n"/>
      <c r="P227" s="8" t="n"/>
      <c r="Q227" s="8" t="n"/>
      <c r="R227" s="8" t="n"/>
      <c r="S227" s="8" t="n"/>
      <c r="T227" s="8" t="n"/>
      <c r="U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7">
        <f>IF(OR(F228="",G228=""),"",(G228-F228)*1440)</f>
        <v/>
      </c>
      <c r="I228" s="8" t="n"/>
      <c r="J228" s="8" t="n"/>
      <c r="K228" s="8" t="n"/>
      <c r="L228" s="8" t="n"/>
      <c r="M228" s="8" t="n"/>
      <c r="O228" s="8" t="n"/>
      <c r="P228" s="8" t="n"/>
      <c r="Q228" s="8" t="n"/>
      <c r="R228" s="8" t="n"/>
      <c r="S228" s="8" t="n"/>
      <c r="T228" s="8" t="n"/>
      <c r="U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7">
        <f>IF(OR(F229="",G229=""),"",(G229-F229)*1440)</f>
        <v/>
      </c>
      <c r="I229" s="8" t="n"/>
      <c r="J229" s="8" t="n"/>
      <c r="K229" s="8" t="n"/>
      <c r="L229" s="8" t="n"/>
      <c r="M229" s="8" t="n"/>
      <c r="O229" s="8" t="n"/>
      <c r="P229" s="8" t="n"/>
      <c r="Q229" s="8" t="n"/>
      <c r="R229" s="8" t="n"/>
      <c r="S229" s="8" t="n"/>
      <c r="T229" s="8" t="n"/>
      <c r="U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7">
        <f>IF(OR(F230="",G230=""),"",(G230-F230)*1440)</f>
        <v/>
      </c>
      <c r="I230" s="8" t="n"/>
      <c r="J230" s="8" t="n"/>
      <c r="K230" s="8" t="n"/>
      <c r="L230" s="8" t="n"/>
      <c r="M230" s="8" t="n"/>
      <c r="O230" s="8" t="n"/>
      <c r="P230" s="8" t="n"/>
      <c r="Q230" s="8" t="n"/>
      <c r="R230" s="8" t="n"/>
      <c r="S230" s="8" t="n"/>
      <c r="T230" s="8" t="n"/>
      <c r="U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7">
        <f>IF(OR(F231="",G231=""),"",(G231-F231)*1440)</f>
        <v/>
      </c>
      <c r="I231" s="8" t="n"/>
      <c r="J231" s="8" t="n"/>
      <c r="K231" s="8" t="n"/>
      <c r="L231" s="8" t="n"/>
      <c r="M231" s="8" t="n"/>
      <c r="O231" s="8" t="n"/>
      <c r="P231" s="8" t="n"/>
      <c r="Q231" s="8" t="n"/>
      <c r="R231" s="8" t="n"/>
      <c r="S231" s="8" t="n"/>
      <c r="T231" s="8" t="n"/>
      <c r="U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7">
        <f>IF(OR(F232="",G232=""),"",(G232-F232)*1440)</f>
        <v/>
      </c>
      <c r="I232" s="8" t="n"/>
      <c r="J232" s="8" t="n"/>
      <c r="K232" s="8" t="n"/>
      <c r="L232" s="8" t="n"/>
      <c r="M232" s="8" t="n"/>
      <c r="O232" s="8" t="n"/>
      <c r="P232" s="8" t="n"/>
      <c r="Q232" s="8" t="n"/>
      <c r="R232" s="8" t="n"/>
      <c r="S232" s="8" t="n"/>
      <c r="T232" s="8" t="n"/>
      <c r="U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7">
        <f>IF(OR(F233="",G233=""),"",(G233-F233)*1440)</f>
        <v/>
      </c>
      <c r="I233" s="8" t="n"/>
      <c r="J233" s="8" t="n"/>
      <c r="K233" s="8" t="n"/>
      <c r="L233" s="8" t="n"/>
      <c r="M233" s="8" t="n"/>
      <c r="O233" s="8" t="n"/>
      <c r="P233" s="8" t="n"/>
      <c r="Q233" s="8" t="n"/>
      <c r="R233" s="8" t="n"/>
      <c r="S233" s="8" t="n"/>
      <c r="T233" s="8" t="n"/>
      <c r="U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7">
        <f>IF(OR(F234="",G234=""),"",(G234-F234)*1440)</f>
        <v/>
      </c>
      <c r="I234" s="8" t="n"/>
      <c r="J234" s="8" t="n"/>
      <c r="K234" s="8" t="n"/>
      <c r="L234" s="8" t="n"/>
      <c r="M234" s="8" t="n"/>
      <c r="O234" s="8" t="n"/>
      <c r="P234" s="8" t="n"/>
      <c r="Q234" s="8" t="n"/>
      <c r="R234" s="8" t="n"/>
      <c r="S234" s="8" t="n"/>
      <c r="T234" s="8" t="n"/>
      <c r="U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7">
        <f>IF(OR(F235="",G235=""),"",(G235-F235)*1440)</f>
        <v/>
      </c>
      <c r="I235" s="8" t="n"/>
      <c r="J235" s="8" t="n"/>
      <c r="K235" s="8" t="n"/>
      <c r="L235" s="8" t="n"/>
      <c r="M235" s="8" t="n"/>
      <c r="O235" s="8" t="n"/>
      <c r="P235" s="8" t="n"/>
      <c r="Q235" s="8" t="n"/>
      <c r="R235" s="8" t="n"/>
      <c r="S235" s="8" t="n"/>
      <c r="T235" s="8" t="n"/>
      <c r="U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7">
        <f>IF(OR(F236="",G236=""),"",(G236-F236)*1440)</f>
        <v/>
      </c>
      <c r="I236" s="8" t="n"/>
      <c r="J236" s="8" t="n"/>
      <c r="K236" s="8" t="n"/>
      <c r="L236" s="8" t="n"/>
      <c r="M236" s="8" t="n"/>
      <c r="O236" s="8" t="n"/>
      <c r="P236" s="8" t="n"/>
      <c r="Q236" s="8" t="n"/>
      <c r="R236" s="8" t="n"/>
      <c r="S236" s="8" t="n"/>
      <c r="T236" s="8" t="n"/>
      <c r="U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7">
        <f>IF(OR(F237="",G237=""),"",(G237-F237)*1440)</f>
        <v/>
      </c>
      <c r="I237" s="8" t="n"/>
      <c r="J237" s="8" t="n"/>
      <c r="K237" s="8" t="n"/>
      <c r="L237" s="8" t="n"/>
      <c r="M237" s="8" t="n"/>
      <c r="O237" s="8" t="n"/>
      <c r="P237" s="8" t="n"/>
      <c r="Q237" s="8" t="n"/>
      <c r="R237" s="8" t="n"/>
      <c r="S237" s="8" t="n"/>
      <c r="T237" s="8" t="n"/>
      <c r="U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7">
        <f>IF(OR(F238="",G238=""),"",(G238-F238)*1440)</f>
        <v/>
      </c>
      <c r="I238" s="8" t="n"/>
      <c r="J238" s="8" t="n"/>
      <c r="K238" s="8" t="n"/>
      <c r="L238" s="8" t="n"/>
      <c r="M238" s="8" t="n"/>
      <c r="O238" s="8" t="n"/>
      <c r="P238" s="8" t="n"/>
      <c r="Q238" s="8" t="n"/>
      <c r="R238" s="8" t="n"/>
      <c r="S238" s="8" t="n"/>
      <c r="T238" s="8" t="n"/>
      <c r="U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7">
        <f>IF(OR(F239="",G239=""),"",(G239-F239)*1440)</f>
        <v/>
      </c>
      <c r="I239" s="8" t="n"/>
      <c r="J239" s="8" t="n"/>
      <c r="K239" s="8" t="n"/>
      <c r="L239" s="8" t="n"/>
      <c r="M239" s="8" t="n"/>
      <c r="O239" s="8" t="n"/>
      <c r="P239" s="8" t="n"/>
      <c r="Q239" s="8" t="n"/>
      <c r="R239" s="8" t="n"/>
      <c r="S239" s="8" t="n"/>
      <c r="T239" s="8" t="n"/>
      <c r="U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7">
        <f>IF(OR(F240="",G240=""),"",(G240-F240)*1440)</f>
        <v/>
      </c>
      <c r="I240" s="8" t="n"/>
      <c r="J240" s="8" t="n"/>
      <c r="K240" s="8" t="n"/>
      <c r="L240" s="8" t="n"/>
      <c r="M240" s="8" t="n"/>
      <c r="O240" s="8" t="n"/>
      <c r="P240" s="8" t="n"/>
      <c r="Q240" s="8" t="n"/>
      <c r="R240" s="8" t="n"/>
      <c r="S240" s="8" t="n"/>
      <c r="T240" s="8" t="n"/>
      <c r="U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7">
        <f>IF(OR(F241="",G241=""),"",(G241-F241)*1440)</f>
        <v/>
      </c>
      <c r="I241" s="8" t="n"/>
      <c r="J241" s="8" t="n"/>
      <c r="K241" s="8" t="n"/>
      <c r="L241" s="8" t="n"/>
      <c r="M241" s="8" t="n"/>
      <c r="O241" s="8" t="n"/>
      <c r="P241" s="8" t="n"/>
      <c r="Q241" s="8" t="n"/>
      <c r="R241" s="8" t="n"/>
      <c r="S241" s="8" t="n"/>
      <c r="T241" s="8" t="n"/>
      <c r="U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7">
        <f>IF(OR(F242="",G242=""),"",(G242-F242)*1440)</f>
        <v/>
      </c>
      <c r="I242" s="8" t="n"/>
      <c r="J242" s="8" t="n"/>
      <c r="K242" s="8" t="n"/>
      <c r="L242" s="8" t="n"/>
      <c r="M242" s="8" t="n"/>
      <c r="O242" s="8" t="n"/>
      <c r="P242" s="8" t="n"/>
      <c r="Q242" s="8" t="n"/>
      <c r="R242" s="8" t="n"/>
      <c r="S242" s="8" t="n"/>
      <c r="T242" s="8" t="n"/>
      <c r="U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7">
        <f>IF(OR(F243="",G243=""),"",(G243-F243)*1440)</f>
        <v/>
      </c>
      <c r="I243" s="8" t="n"/>
      <c r="J243" s="8" t="n"/>
      <c r="K243" s="8" t="n"/>
      <c r="L243" s="8" t="n"/>
      <c r="M243" s="8" t="n"/>
      <c r="O243" s="8" t="n"/>
      <c r="P243" s="8" t="n"/>
      <c r="Q243" s="8" t="n"/>
      <c r="R243" s="8" t="n"/>
      <c r="S243" s="8" t="n"/>
      <c r="T243" s="8" t="n"/>
      <c r="U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7">
        <f>IF(OR(F244="",G244=""),"",(G244-F244)*1440)</f>
        <v/>
      </c>
      <c r="I244" s="8" t="n"/>
      <c r="J244" s="8" t="n"/>
      <c r="K244" s="8" t="n"/>
      <c r="L244" s="8" t="n"/>
      <c r="M244" s="8" t="n"/>
      <c r="O244" s="8" t="n"/>
      <c r="P244" s="8" t="n"/>
      <c r="Q244" s="8" t="n"/>
      <c r="R244" s="8" t="n"/>
      <c r="S244" s="8" t="n"/>
      <c r="T244" s="8" t="n"/>
      <c r="U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7">
        <f>IF(OR(F245="",G245=""),"",(G245-F245)*1440)</f>
        <v/>
      </c>
      <c r="I245" s="8" t="n"/>
      <c r="J245" s="8" t="n"/>
      <c r="K245" s="8" t="n"/>
      <c r="L245" s="8" t="n"/>
      <c r="M245" s="8" t="n"/>
      <c r="O245" s="8" t="n"/>
      <c r="P245" s="8" t="n"/>
      <c r="Q245" s="8" t="n"/>
      <c r="R245" s="8" t="n"/>
      <c r="S245" s="8" t="n"/>
      <c r="T245" s="8" t="n"/>
      <c r="U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7">
        <f>IF(OR(F246="",G246=""),"",(G246-F246)*1440)</f>
        <v/>
      </c>
      <c r="I246" s="8" t="n"/>
      <c r="J246" s="8" t="n"/>
      <c r="K246" s="8" t="n"/>
      <c r="L246" s="8" t="n"/>
      <c r="M246" s="8" t="n"/>
      <c r="O246" s="8" t="n"/>
      <c r="P246" s="8" t="n"/>
      <c r="Q246" s="8" t="n"/>
      <c r="R246" s="8" t="n"/>
      <c r="S246" s="8" t="n"/>
      <c r="T246" s="8" t="n"/>
      <c r="U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7">
        <f>IF(OR(F247="",G247=""),"",(G247-F247)*1440)</f>
        <v/>
      </c>
      <c r="I247" s="8" t="n"/>
      <c r="J247" s="8" t="n"/>
      <c r="K247" s="8" t="n"/>
      <c r="L247" s="8" t="n"/>
      <c r="M247" s="8" t="n"/>
      <c r="O247" s="8" t="n"/>
      <c r="P247" s="8" t="n"/>
      <c r="Q247" s="8" t="n"/>
      <c r="R247" s="8" t="n"/>
      <c r="S247" s="8" t="n"/>
      <c r="T247" s="8" t="n"/>
      <c r="U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7">
        <f>IF(OR(F248="",G248=""),"",(G248-F248)*1440)</f>
        <v/>
      </c>
      <c r="I248" s="8" t="n"/>
      <c r="J248" s="8" t="n"/>
      <c r="K248" s="8" t="n"/>
      <c r="L248" s="8" t="n"/>
      <c r="M248" s="8" t="n"/>
      <c r="O248" s="8" t="n"/>
      <c r="P248" s="8" t="n"/>
      <c r="Q248" s="8" t="n"/>
      <c r="R248" s="8" t="n"/>
      <c r="S248" s="8" t="n"/>
      <c r="T248" s="8" t="n"/>
      <c r="U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7">
        <f>IF(OR(F249="",G249=""),"",(G249-F249)*1440)</f>
        <v/>
      </c>
      <c r="I249" s="8" t="n"/>
      <c r="J249" s="8" t="n"/>
      <c r="K249" s="8" t="n"/>
      <c r="L249" s="8" t="n"/>
      <c r="M249" s="8" t="n"/>
      <c r="O249" s="8" t="n"/>
      <c r="P249" s="8" t="n"/>
      <c r="Q249" s="8" t="n"/>
      <c r="R249" s="8" t="n"/>
      <c r="S249" s="8" t="n"/>
      <c r="T249" s="8" t="n"/>
      <c r="U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7">
        <f>IF(OR(F250="",G250=""),"",(G250-F250)*1440)</f>
        <v/>
      </c>
      <c r="I250" s="8" t="n"/>
      <c r="J250" s="8" t="n"/>
      <c r="K250" s="8" t="n"/>
      <c r="L250" s="8" t="n"/>
      <c r="M250" s="8" t="n"/>
      <c r="O250" s="8" t="n"/>
      <c r="P250" s="8" t="n"/>
      <c r="Q250" s="8" t="n"/>
      <c r="R250" s="8" t="n"/>
      <c r="S250" s="8" t="n"/>
      <c r="T250" s="8" t="n"/>
      <c r="U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7">
        <f>IF(OR(F251="",G251=""),"",(G251-F251)*1440)</f>
        <v/>
      </c>
      <c r="I251" s="8" t="n"/>
      <c r="J251" s="8" t="n"/>
      <c r="K251" s="8" t="n"/>
      <c r="L251" s="8" t="n"/>
      <c r="M251" s="8" t="n"/>
      <c r="O251" s="8" t="n"/>
      <c r="P251" s="8" t="n"/>
      <c r="Q251" s="8" t="n"/>
      <c r="R251" s="8" t="n"/>
      <c r="S251" s="8" t="n"/>
      <c r="T251" s="8" t="n"/>
      <c r="U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7">
        <f>IF(OR(F252="",G252=""),"",(G252-F252)*1440)</f>
        <v/>
      </c>
      <c r="I252" s="8" t="n"/>
      <c r="J252" s="8" t="n"/>
      <c r="K252" s="8" t="n"/>
      <c r="L252" s="8" t="n"/>
      <c r="M252" s="8" t="n"/>
      <c r="O252" s="8" t="n"/>
      <c r="P252" s="8" t="n"/>
      <c r="Q252" s="8" t="n"/>
      <c r="R252" s="8" t="n"/>
      <c r="S252" s="8" t="n"/>
      <c r="T252" s="8" t="n"/>
      <c r="U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7">
        <f>IF(OR(F253="",G253=""),"",(G253-F253)*1440)</f>
        <v/>
      </c>
      <c r="I253" s="8" t="n"/>
      <c r="J253" s="8" t="n"/>
      <c r="K253" s="8" t="n"/>
      <c r="L253" s="8" t="n"/>
      <c r="M253" s="8" t="n"/>
      <c r="O253" s="8" t="n"/>
      <c r="P253" s="8" t="n"/>
      <c r="Q253" s="8" t="n"/>
      <c r="R253" s="8" t="n"/>
      <c r="S253" s="8" t="n"/>
      <c r="T253" s="8" t="n"/>
      <c r="U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7">
        <f>IF(OR(F254="",G254=""),"",(G254-F254)*1440)</f>
        <v/>
      </c>
      <c r="I254" s="8" t="n"/>
      <c r="J254" s="8" t="n"/>
      <c r="K254" s="8" t="n"/>
      <c r="L254" s="8" t="n"/>
      <c r="M254" s="8" t="n"/>
      <c r="O254" s="8" t="n"/>
      <c r="P254" s="8" t="n"/>
      <c r="Q254" s="8" t="n"/>
      <c r="R254" s="8" t="n"/>
      <c r="S254" s="8" t="n"/>
      <c r="T254" s="8" t="n"/>
      <c r="U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7">
        <f>IF(OR(F255="",G255=""),"",(G255-F255)*1440)</f>
        <v/>
      </c>
      <c r="I255" s="8" t="n"/>
      <c r="J255" s="8" t="n"/>
      <c r="K255" s="8" t="n"/>
      <c r="L255" s="8" t="n"/>
      <c r="M255" s="8" t="n"/>
      <c r="O255" s="8" t="n"/>
      <c r="P255" s="8" t="n"/>
      <c r="Q255" s="8" t="n"/>
      <c r="R255" s="8" t="n"/>
      <c r="S255" s="8" t="n"/>
      <c r="T255" s="8" t="n"/>
      <c r="U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7">
        <f>IF(OR(F256="",G256=""),"",(G256-F256)*1440)</f>
        <v/>
      </c>
      <c r="I256" s="8" t="n"/>
      <c r="J256" s="8" t="n"/>
      <c r="K256" s="8" t="n"/>
      <c r="L256" s="8" t="n"/>
      <c r="M256" s="8" t="n"/>
      <c r="O256" s="8" t="n"/>
      <c r="P256" s="8" t="n"/>
      <c r="Q256" s="8" t="n"/>
      <c r="R256" s="8" t="n"/>
      <c r="S256" s="8" t="n"/>
      <c r="T256" s="8" t="n"/>
      <c r="U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7">
        <f>IF(OR(F257="",G257=""),"",(G257-F257)*1440)</f>
        <v/>
      </c>
      <c r="I257" s="8" t="n"/>
      <c r="J257" s="8" t="n"/>
      <c r="K257" s="8" t="n"/>
      <c r="L257" s="8" t="n"/>
      <c r="M257" s="8" t="n"/>
      <c r="O257" s="8" t="n"/>
      <c r="P257" s="8" t="n"/>
      <c r="Q257" s="8" t="n"/>
      <c r="R257" s="8" t="n"/>
      <c r="S257" s="8" t="n"/>
      <c r="T257" s="8" t="n"/>
      <c r="U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7">
        <f>IF(OR(F258="",G258=""),"",(G258-F258)*1440)</f>
        <v/>
      </c>
      <c r="I258" s="8" t="n"/>
      <c r="J258" s="8" t="n"/>
      <c r="K258" s="8" t="n"/>
      <c r="L258" s="8" t="n"/>
      <c r="M258" s="8" t="n"/>
      <c r="O258" s="8" t="n"/>
      <c r="P258" s="8" t="n"/>
      <c r="Q258" s="8" t="n"/>
      <c r="R258" s="8" t="n"/>
      <c r="S258" s="8" t="n"/>
      <c r="T258" s="8" t="n"/>
      <c r="U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7">
        <f>IF(OR(F259="",G259=""),"",(G259-F259)*1440)</f>
        <v/>
      </c>
      <c r="I259" s="8" t="n"/>
      <c r="J259" s="8" t="n"/>
      <c r="K259" s="8" t="n"/>
      <c r="L259" s="8" t="n"/>
      <c r="M259" s="8" t="n"/>
      <c r="O259" s="8" t="n"/>
      <c r="P259" s="8" t="n"/>
      <c r="Q259" s="8" t="n"/>
      <c r="R259" s="8" t="n"/>
      <c r="S259" s="8" t="n"/>
      <c r="T259" s="8" t="n"/>
      <c r="U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7">
        <f>IF(OR(F260="",G260=""),"",(G260-F260)*1440)</f>
        <v/>
      </c>
      <c r="I260" s="8" t="n"/>
      <c r="J260" s="8" t="n"/>
      <c r="K260" s="8" t="n"/>
      <c r="L260" s="8" t="n"/>
      <c r="M260" s="8" t="n"/>
      <c r="O260" s="8" t="n"/>
      <c r="P260" s="8" t="n"/>
      <c r="Q260" s="8" t="n"/>
      <c r="R260" s="8" t="n"/>
      <c r="S260" s="8" t="n"/>
      <c r="T260" s="8" t="n"/>
      <c r="U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7">
        <f>IF(OR(F261="",G261=""),"",(G261-F261)*1440)</f>
        <v/>
      </c>
      <c r="I261" s="8" t="n"/>
      <c r="J261" s="8" t="n"/>
      <c r="K261" s="8" t="n"/>
      <c r="L261" s="8" t="n"/>
      <c r="M261" s="8" t="n"/>
      <c r="O261" s="8" t="n"/>
      <c r="P261" s="8" t="n"/>
      <c r="Q261" s="8" t="n"/>
      <c r="R261" s="8" t="n"/>
      <c r="S261" s="8" t="n"/>
      <c r="T261" s="8" t="n"/>
      <c r="U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7">
        <f>IF(OR(F262="",G262=""),"",(G262-F262)*1440)</f>
        <v/>
      </c>
      <c r="I262" s="8" t="n"/>
      <c r="J262" s="8" t="n"/>
      <c r="K262" s="8" t="n"/>
      <c r="L262" s="8" t="n"/>
      <c r="M262" s="8" t="n"/>
      <c r="O262" s="8" t="n"/>
      <c r="P262" s="8" t="n"/>
      <c r="Q262" s="8" t="n"/>
      <c r="R262" s="8" t="n"/>
      <c r="S262" s="8" t="n"/>
      <c r="T262" s="8" t="n"/>
      <c r="U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7">
        <f>IF(OR(F263="",G263=""),"",(G263-F263)*1440)</f>
        <v/>
      </c>
      <c r="I263" s="8" t="n"/>
      <c r="J263" s="8" t="n"/>
      <c r="K263" s="8" t="n"/>
      <c r="L263" s="8" t="n"/>
      <c r="M263" s="8" t="n"/>
      <c r="O263" s="8" t="n"/>
      <c r="P263" s="8" t="n"/>
      <c r="Q263" s="8" t="n"/>
      <c r="R263" s="8" t="n"/>
      <c r="S263" s="8" t="n"/>
      <c r="T263" s="8" t="n"/>
      <c r="U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7">
        <f>IF(OR(F264="",G264=""),"",(G264-F264)*1440)</f>
        <v/>
      </c>
      <c r="I264" s="8" t="n"/>
      <c r="J264" s="8" t="n"/>
      <c r="K264" s="8" t="n"/>
      <c r="L264" s="8" t="n"/>
      <c r="M264" s="8" t="n"/>
      <c r="O264" s="8" t="n"/>
      <c r="P264" s="8" t="n"/>
      <c r="Q264" s="8" t="n"/>
      <c r="R264" s="8" t="n"/>
      <c r="S264" s="8" t="n"/>
      <c r="T264" s="8" t="n"/>
      <c r="U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7">
        <f>IF(OR(F265="",G265=""),"",(G265-F265)*1440)</f>
        <v/>
      </c>
      <c r="I265" s="8" t="n"/>
      <c r="J265" s="8" t="n"/>
      <c r="K265" s="8" t="n"/>
      <c r="L265" s="8" t="n"/>
      <c r="M265" s="8" t="n"/>
      <c r="O265" s="8" t="n"/>
      <c r="P265" s="8" t="n"/>
      <c r="Q265" s="8" t="n"/>
      <c r="R265" s="8" t="n"/>
      <c r="S265" s="8" t="n"/>
      <c r="T265" s="8" t="n"/>
      <c r="U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7">
        <f>IF(OR(F266="",G266=""),"",(G266-F266)*1440)</f>
        <v/>
      </c>
      <c r="I266" s="8" t="n"/>
      <c r="J266" s="8" t="n"/>
      <c r="K266" s="8" t="n"/>
      <c r="L266" s="8" t="n"/>
      <c r="M266" s="8" t="n"/>
      <c r="O266" s="8" t="n"/>
      <c r="P266" s="8" t="n"/>
      <c r="Q266" s="8" t="n"/>
      <c r="R266" s="8" t="n"/>
      <c r="S266" s="8" t="n"/>
      <c r="T266" s="8" t="n"/>
      <c r="U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7">
        <f>IF(OR(F267="",G267=""),"",(G267-F267)*1440)</f>
        <v/>
      </c>
      <c r="I267" s="8" t="n"/>
      <c r="J267" s="8" t="n"/>
      <c r="K267" s="8" t="n"/>
      <c r="L267" s="8" t="n"/>
      <c r="M267" s="8" t="n"/>
      <c r="O267" s="8" t="n"/>
      <c r="P267" s="8" t="n"/>
      <c r="Q267" s="8" t="n"/>
      <c r="R267" s="8" t="n"/>
      <c r="S267" s="8" t="n"/>
      <c r="T267" s="8" t="n"/>
      <c r="U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7">
        <f>IF(OR(F268="",G268=""),"",(G268-F268)*1440)</f>
        <v/>
      </c>
      <c r="I268" s="8" t="n"/>
      <c r="J268" s="8" t="n"/>
      <c r="K268" s="8" t="n"/>
      <c r="L268" s="8" t="n"/>
      <c r="M268" s="8" t="n"/>
      <c r="O268" s="8" t="n"/>
      <c r="P268" s="8" t="n"/>
      <c r="Q268" s="8" t="n"/>
      <c r="R268" s="8" t="n"/>
      <c r="S268" s="8" t="n"/>
      <c r="T268" s="8" t="n"/>
      <c r="U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7">
        <f>IF(OR(F269="",G269=""),"",(G269-F269)*1440)</f>
        <v/>
      </c>
      <c r="I269" s="8" t="n"/>
      <c r="J269" s="8" t="n"/>
      <c r="K269" s="8" t="n"/>
      <c r="L269" s="8" t="n"/>
      <c r="M269" s="8" t="n"/>
      <c r="O269" s="8" t="n"/>
      <c r="P269" s="8" t="n"/>
      <c r="Q269" s="8" t="n"/>
      <c r="R269" s="8" t="n"/>
      <c r="S269" s="8" t="n"/>
      <c r="T269" s="8" t="n"/>
      <c r="U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7">
        <f>IF(OR(F270="",G270=""),"",(G270-F270)*1440)</f>
        <v/>
      </c>
      <c r="I270" s="8" t="n"/>
      <c r="J270" s="8" t="n"/>
      <c r="K270" s="8" t="n"/>
      <c r="L270" s="8" t="n"/>
      <c r="M270" s="8" t="n"/>
      <c r="O270" s="8" t="n"/>
      <c r="P270" s="8" t="n"/>
      <c r="Q270" s="8" t="n"/>
      <c r="R270" s="8" t="n"/>
      <c r="S270" s="8" t="n"/>
      <c r="T270" s="8" t="n"/>
      <c r="U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7">
        <f>IF(OR(F271="",G271=""),"",(G271-F271)*1440)</f>
        <v/>
      </c>
      <c r="I271" s="8" t="n"/>
      <c r="J271" s="8" t="n"/>
      <c r="K271" s="8" t="n"/>
      <c r="L271" s="8" t="n"/>
      <c r="M271" s="8" t="n"/>
      <c r="O271" s="8" t="n"/>
      <c r="P271" s="8" t="n"/>
      <c r="Q271" s="8" t="n"/>
      <c r="R271" s="8" t="n"/>
      <c r="S271" s="8" t="n"/>
      <c r="T271" s="8" t="n"/>
      <c r="U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7">
        <f>IF(OR(F272="",G272=""),"",(G272-F272)*1440)</f>
        <v/>
      </c>
      <c r="I272" s="8" t="n"/>
      <c r="J272" s="8" t="n"/>
      <c r="K272" s="8" t="n"/>
      <c r="L272" s="8" t="n"/>
      <c r="M272" s="8" t="n"/>
      <c r="O272" s="8" t="n"/>
      <c r="P272" s="8" t="n"/>
      <c r="Q272" s="8" t="n"/>
      <c r="R272" s="8" t="n"/>
      <c r="S272" s="8" t="n"/>
      <c r="T272" s="8" t="n"/>
      <c r="U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7">
        <f>IF(OR(F273="",G273=""),"",(G273-F273)*1440)</f>
        <v/>
      </c>
      <c r="I273" s="8" t="n"/>
      <c r="J273" s="8" t="n"/>
      <c r="K273" s="8" t="n"/>
      <c r="L273" s="8" t="n"/>
      <c r="M273" s="8" t="n"/>
      <c r="O273" s="8" t="n"/>
      <c r="P273" s="8" t="n"/>
      <c r="Q273" s="8" t="n"/>
      <c r="R273" s="8" t="n"/>
      <c r="S273" s="8" t="n"/>
      <c r="T273" s="8" t="n"/>
      <c r="U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7">
        <f>IF(OR(F274="",G274=""),"",(G274-F274)*1440)</f>
        <v/>
      </c>
      <c r="I274" s="8" t="n"/>
      <c r="J274" s="8" t="n"/>
      <c r="K274" s="8" t="n"/>
      <c r="L274" s="8" t="n"/>
      <c r="M274" s="8" t="n"/>
      <c r="O274" s="8" t="n"/>
      <c r="P274" s="8" t="n"/>
      <c r="Q274" s="8" t="n"/>
      <c r="R274" s="8" t="n"/>
      <c r="S274" s="8" t="n"/>
      <c r="T274" s="8" t="n"/>
      <c r="U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7">
        <f>IF(OR(F275="",G275=""),"",(G275-F275)*1440)</f>
        <v/>
      </c>
      <c r="I275" s="8" t="n"/>
      <c r="J275" s="8" t="n"/>
      <c r="K275" s="8" t="n"/>
      <c r="L275" s="8" t="n"/>
      <c r="M275" s="8" t="n"/>
      <c r="O275" s="8" t="n"/>
      <c r="P275" s="8" t="n"/>
      <c r="Q275" s="8" t="n"/>
      <c r="R275" s="8" t="n"/>
      <c r="S275" s="8" t="n"/>
      <c r="T275" s="8" t="n"/>
      <c r="U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7">
        <f>IF(OR(F276="",G276=""),"",(G276-F276)*1440)</f>
        <v/>
      </c>
      <c r="I276" s="8" t="n"/>
      <c r="J276" s="8" t="n"/>
      <c r="K276" s="8" t="n"/>
      <c r="L276" s="8" t="n"/>
      <c r="M276" s="8" t="n"/>
      <c r="O276" s="8" t="n"/>
      <c r="P276" s="8" t="n"/>
      <c r="Q276" s="8" t="n"/>
      <c r="R276" s="8" t="n"/>
      <c r="S276" s="8" t="n"/>
      <c r="T276" s="8" t="n"/>
      <c r="U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7">
        <f>IF(OR(F277="",G277=""),"",(G277-F277)*1440)</f>
        <v/>
      </c>
      <c r="I277" s="8" t="n"/>
      <c r="J277" s="8" t="n"/>
      <c r="K277" s="8" t="n"/>
      <c r="L277" s="8" t="n"/>
      <c r="M277" s="8" t="n"/>
      <c r="O277" s="8" t="n"/>
      <c r="P277" s="8" t="n"/>
      <c r="Q277" s="8" t="n"/>
      <c r="R277" s="8" t="n"/>
      <c r="S277" s="8" t="n"/>
      <c r="T277" s="8" t="n"/>
      <c r="U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7">
        <f>IF(OR(F278="",G278=""),"",(G278-F278)*1440)</f>
        <v/>
      </c>
      <c r="I278" s="8" t="n"/>
      <c r="J278" s="8" t="n"/>
      <c r="K278" s="8" t="n"/>
      <c r="L278" s="8" t="n"/>
      <c r="M278" s="8" t="n"/>
      <c r="O278" s="8" t="n"/>
      <c r="P278" s="8" t="n"/>
      <c r="Q278" s="8" t="n"/>
      <c r="R278" s="8" t="n"/>
      <c r="S278" s="8" t="n"/>
      <c r="T278" s="8" t="n"/>
      <c r="U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7">
        <f>IF(OR(F279="",G279=""),"",(G279-F279)*1440)</f>
        <v/>
      </c>
      <c r="I279" s="8" t="n"/>
      <c r="J279" s="8" t="n"/>
      <c r="K279" s="8" t="n"/>
      <c r="L279" s="8" t="n"/>
      <c r="M279" s="8" t="n"/>
      <c r="O279" s="8" t="n"/>
      <c r="P279" s="8" t="n"/>
      <c r="Q279" s="8" t="n"/>
      <c r="R279" s="8" t="n"/>
      <c r="S279" s="8" t="n"/>
      <c r="T279" s="8" t="n"/>
      <c r="U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7">
        <f>IF(OR(F280="",G280=""),"",(G280-F280)*1440)</f>
        <v/>
      </c>
      <c r="I280" s="8" t="n"/>
      <c r="J280" s="8" t="n"/>
      <c r="K280" s="8" t="n"/>
      <c r="L280" s="8" t="n"/>
      <c r="M280" s="8" t="n"/>
      <c r="O280" s="8" t="n"/>
      <c r="P280" s="8" t="n"/>
      <c r="Q280" s="8" t="n"/>
      <c r="R280" s="8" t="n"/>
      <c r="S280" s="8" t="n"/>
      <c r="T280" s="8" t="n"/>
      <c r="U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7">
        <f>IF(OR(F281="",G281=""),"",(G281-F281)*1440)</f>
        <v/>
      </c>
      <c r="I281" s="8" t="n"/>
      <c r="J281" s="8" t="n"/>
      <c r="K281" s="8" t="n"/>
      <c r="L281" s="8" t="n"/>
      <c r="M281" s="8" t="n"/>
      <c r="O281" s="8" t="n"/>
      <c r="P281" s="8" t="n"/>
      <c r="Q281" s="8" t="n"/>
      <c r="R281" s="8" t="n"/>
      <c r="S281" s="8" t="n"/>
      <c r="T281" s="8" t="n"/>
      <c r="U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7">
        <f>IF(OR(F282="",G282=""),"",(G282-F282)*1440)</f>
        <v/>
      </c>
      <c r="I282" s="8" t="n"/>
      <c r="J282" s="8" t="n"/>
      <c r="K282" s="8" t="n"/>
      <c r="L282" s="8" t="n"/>
      <c r="M282" s="8" t="n"/>
      <c r="O282" s="8" t="n"/>
      <c r="P282" s="8" t="n"/>
      <c r="Q282" s="8" t="n"/>
      <c r="R282" s="8" t="n"/>
      <c r="S282" s="8" t="n"/>
      <c r="T282" s="8" t="n"/>
      <c r="U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7">
        <f>IF(OR(F283="",G283=""),"",(G283-F283)*1440)</f>
        <v/>
      </c>
      <c r="I283" s="8" t="n"/>
      <c r="J283" s="8" t="n"/>
      <c r="K283" s="8" t="n"/>
      <c r="L283" s="8" t="n"/>
      <c r="M283" s="8" t="n"/>
      <c r="O283" s="8" t="n"/>
      <c r="P283" s="8" t="n"/>
      <c r="Q283" s="8" t="n"/>
      <c r="R283" s="8" t="n"/>
      <c r="S283" s="8" t="n"/>
      <c r="T283" s="8" t="n"/>
      <c r="U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7">
        <f>IF(OR(F284="",G284=""),"",(G284-F284)*1440)</f>
        <v/>
      </c>
      <c r="I284" s="8" t="n"/>
      <c r="J284" s="8" t="n"/>
      <c r="K284" s="8" t="n"/>
      <c r="L284" s="8" t="n"/>
      <c r="M284" s="8" t="n"/>
      <c r="O284" s="8" t="n"/>
      <c r="P284" s="8" t="n"/>
      <c r="Q284" s="8" t="n"/>
      <c r="R284" s="8" t="n"/>
      <c r="S284" s="8" t="n"/>
      <c r="T284" s="8" t="n"/>
      <c r="U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7">
        <f>IF(OR(F285="",G285=""),"",(G285-F285)*1440)</f>
        <v/>
      </c>
      <c r="I285" s="8" t="n"/>
      <c r="J285" s="8" t="n"/>
      <c r="K285" s="8" t="n"/>
      <c r="L285" s="8" t="n"/>
      <c r="M285" s="8" t="n"/>
      <c r="O285" s="8" t="n"/>
      <c r="P285" s="8" t="n"/>
      <c r="Q285" s="8" t="n"/>
      <c r="R285" s="8" t="n"/>
      <c r="S285" s="8" t="n"/>
      <c r="T285" s="8" t="n"/>
      <c r="U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7">
        <f>IF(OR(F286="",G286=""),"",(G286-F286)*1440)</f>
        <v/>
      </c>
      <c r="I286" s="8" t="n"/>
      <c r="J286" s="8" t="n"/>
      <c r="K286" s="8" t="n"/>
      <c r="L286" s="8" t="n"/>
      <c r="M286" s="8" t="n"/>
      <c r="O286" s="8" t="n"/>
      <c r="P286" s="8" t="n"/>
      <c r="Q286" s="8" t="n"/>
      <c r="R286" s="8" t="n"/>
      <c r="S286" s="8" t="n"/>
      <c r="T286" s="8" t="n"/>
      <c r="U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7">
        <f>IF(OR(F287="",G287=""),"",(G287-F287)*1440)</f>
        <v/>
      </c>
      <c r="I287" s="8" t="n"/>
      <c r="J287" s="8" t="n"/>
      <c r="K287" s="8" t="n"/>
      <c r="L287" s="8" t="n"/>
      <c r="M287" s="8" t="n"/>
      <c r="O287" s="8" t="n"/>
      <c r="P287" s="8" t="n"/>
      <c r="Q287" s="8" t="n"/>
      <c r="R287" s="8" t="n"/>
      <c r="S287" s="8" t="n"/>
      <c r="T287" s="8" t="n"/>
      <c r="U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7">
        <f>IF(OR(F288="",G288=""),"",(G288-F288)*1440)</f>
        <v/>
      </c>
      <c r="I288" s="8" t="n"/>
      <c r="J288" s="8" t="n"/>
      <c r="K288" s="8" t="n"/>
      <c r="L288" s="8" t="n"/>
      <c r="M288" s="8" t="n"/>
      <c r="O288" s="8" t="n"/>
      <c r="P288" s="8" t="n"/>
      <c r="Q288" s="8" t="n"/>
      <c r="R288" s="8" t="n"/>
      <c r="S288" s="8" t="n"/>
      <c r="T288" s="8" t="n"/>
      <c r="U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7">
        <f>IF(OR(F289="",G289=""),"",(G289-F289)*1440)</f>
        <v/>
      </c>
      <c r="I289" s="8" t="n"/>
      <c r="J289" s="8" t="n"/>
      <c r="K289" s="8" t="n"/>
      <c r="L289" s="8" t="n"/>
      <c r="M289" s="8" t="n"/>
      <c r="O289" s="8" t="n"/>
      <c r="P289" s="8" t="n"/>
      <c r="Q289" s="8" t="n"/>
      <c r="R289" s="8" t="n"/>
      <c r="S289" s="8" t="n"/>
      <c r="T289" s="8" t="n"/>
      <c r="U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7">
        <f>IF(OR(F290="",G290=""),"",(G290-F290)*1440)</f>
        <v/>
      </c>
      <c r="I290" s="8" t="n"/>
      <c r="J290" s="8" t="n"/>
      <c r="K290" s="8" t="n"/>
      <c r="L290" s="8" t="n"/>
      <c r="M290" s="8" t="n"/>
      <c r="O290" s="8" t="n"/>
      <c r="P290" s="8" t="n"/>
      <c r="Q290" s="8" t="n"/>
      <c r="R290" s="8" t="n"/>
      <c r="S290" s="8" t="n"/>
      <c r="T290" s="8" t="n"/>
      <c r="U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7">
        <f>IF(OR(F291="",G291=""),"",(G291-F291)*1440)</f>
        <v/>
      </c>
      <c r="I291" s="8" t="n"/>
      <c r="J291" s="8" t="n"/>
      <c r="K291" s="8" t="n"/>
      <c r="L291" s="8" t="n"/>
      <c r="M291" s="8" t="n"/>
      <c r="O291" s="8" t="n"/>
      <c r="P291" s="8" t="n"/>
      <c r="Q291" s="8" t="n"/>
      <c r="R291" s="8" t="n"/>
      <c r="S291" s="8" t="n"/>
      <c r="T291" s="8" t="n"/>
      <c r="U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7">
        <f>IF(OR(F292="",G292=""),"",(G292-F292)*1440)</f>
        <v/>
      </c>
      <c r="I292" s="8" t="n"/>
      <c r="J292" s="8" t="n"/>
      <c r="K292" s="8" t="n"/>
      <c r="L292" s="8" t="n"/>
      <c r="M292" s="8" t="n"/>
      <c r="O292" s="8" t="n"/>
      <c r="P292" s="8" t="n"/>
      <c r="Q292" s="8" t="n"/>
      <c r="R292" s="8" t="n"/>
      <c r="S292" s="8" t="n"/>
      <c r="T292" s="8" t="n"/>
      <c r="U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7">
        <f>IF(OR(F293="",G293=""),"",(G293-F293)*1440)</f>
        <v/>
      </c>
      <c r="I293" s="8" t="n"/>
      <c r="J293" s="8" t="n"/>
      <c r="K293" s="8" t="n"/>
      <c r="L293" s="8" t="n"/>
      <c r="M293" s="8" t="n"/>
      <c r="O293" s="8" t="n"/>
      <c r="P293" s="8" t="n"/>
      <c r="Q293" s="8" t="n"/>
      <c r="R293" s="8" t="n"/>
      <c r="S293" s="8" t="n"/>
      <c r="T293" s="8" t="n"/>
      <c r="U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7">
        <f>IF(OR(F294="",G294=""),"",(G294-F294)*1440)</f>
        <v/>
      </c>
      <c r="I294" s="8" t="n"/>
      <c r="J294" s="8" t="n"/>
      <c r="K294" s="8" t="n"/>
      <c r="L294" s="8" t="n"/>
      <c r="M294" s="8" t="n"/>
      <c r="O294" s="8" t="n"/>
      <c r="P294" s="8" t="n"/>
      <c r="Q294" s="8" t="n"/>
      <c r="R294" s="8" t="n"/>
      <c r="S294" s="8" t="n"/>
      <c r="T294" s="8" t="n"/>
      <c r="U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7">
        <f>IF(OR(F295="",G295=""),"",(G295-F295)*1440)</f>
        <v/>
      </c>
      <c r="I295" s="8" t="n"/>
      <c r="J295" s="8" t="n"/>
      <c r="K295" s="8" t="n"/>
      <c r="L295" s="8" t="n"/>
      <c r="M295" s="8" t="n"/>
      <c r="O295" s="8" t="n"/>
      <c r="P295" s="8" t="n"/>
      <c r="Q295" s="8" t="n"/>
      <c r="R295" s="8" t="n"/>
      <c r="S295" s="8" t="n"/>
      <c r="T295" s="8" t="n"/>
      <c r="U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7">
        <f>IF(OR(F296="",G296=""),"",(G296-F296)*1440)</f>
        <v/>
      </c>
      <c r="I296" s="8" t="n"/>
      <c r="J296" s="8" t="n"/>
      <c r="K296" s="8" t="n"/>
      <c r="L296" s="8" t="n"/>
      <c r="M296" s="8" t="n"/>
      <c r="O296" s="8" t="n"/>
      <c r="P296" s="8" t="n"/>
      <c r="Q296" s="8" t="n"/>
      <c r="R296" s="8" t="n"/>
      <c r="S296" s="8" t="n"/>
      <c r="T296" s="8" t="n"/>
      <c r="U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7">
        <f>IF(OR(F297="",G297=""),"",(G297-F297)*1440)</f>
        <v/>
      </c>
      <c r="I297" s="8" t="n"/>
      <c r="J297" s="8" t="n"/>
      <c r="K297" s="8" t="n"/>
      <c r="L297" s="8" t="n"/>
      <c r="M297" s="8" t="n"/>
      <c r="O297" s="8" t="n"/>
      <c r="P297" s="8" t="n"/>
      <c r="Q297" s="8" t="n"/>
      <c r="R297" s="8" t="n"/>
      <c r="S297" s="8" t="n"/>
      <c r="T297" s="8" t="n"/>
      <c r="U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7">
        <f>IF(OR(F298="",G298=""),"",(G298-F298)*1440)</f>
        <v/>
      </c>
      <c r="I298" s="8" t="n"/>
      <c r="J298" s="8" t="n"/>
      <c r="K298" s="8" t="n"/>
      <c r="L298" s="8" t="n"/>
      <c r="M298" s="8" t="n"/>
      <c r="O298" s="8" t="n"/>
      <c r="P298" s="8" t="n"/>
      <c r="Q298" s="8" t="n"/>
      <c r="R298" s="8" t="n"/>
      <c r="S298" s="8" t="n"/>
      <c r="T298" s="8" t="n"/>
      <c r="U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7">
        <f>IF(OR(F299="",G299=""),"",(G299-F299)*1440)</f>
        <v/>
      </c>
      <c r="I299" s="8" t="n"/>
      <c r="J299" s="8" t="n"/>
      <c r="K299" s="8" t="n"/>
      <c r="L299" s="8" t="n"/>
      <c r="M299" s="8" t="n"/>
      <c r="O299" s="8" t="n"/>
      <c r="P299" s="8" t="n"/>
      <c r="Q299" s="8" t="n"/>
      <c r="R299" s="8" t="n"/>
      <c r="S299" s="8" t="n"/>
      <c r="T299" s="8" t="n"/>
      <c r="U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7">
        <f>IF(OR(F300="",G300=""),"",(G300-F300)*1440)</f>
        <v/>
      </c>
      <c r="I300" s="8" t="n"/>
      <c r="J300" s="8" t="n"/>
      <c r="K300" s="8" t="n"/>
      <c r="L300" s="8" t="n"/>
      <c r="M300" s="8" t="n"/>
      <c r="O300" s="8" t="n"/>
      <c r="P300" s="8" t="n"/>
      <c r="Q300" s="8" t="n"/>
      <c r="R300" s="8" t="n"/>
      <c r="S300" s="8" t="n"/>
      <c r="T300" s="8" t="n"/>
      <c r="U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7">
        <f>IF(OR(F301="",G301=""),"",(G301-F301)*1440)</f>
        <v/>
      </c>
      <c r="I301" s="8" t="n"/>
      <c r="J301" s="8" t="n"/>
      <c r="K301" s="8" t="n"/>
      <c r="L301" s="8" t="n"/>
      <c r="M301" s="8" t="n"/>
      <c r="O301" s="8" t="n"/>
      <c r="P301" s="8" t="n"/>
      <c r="Q301" s="8" t="n"/>
      <c r="R301" s="8" t="n"/>
      <c r="S301" s="8" t="n"/>
      <c r="T301" s="8" t="n"/>
      <c r="U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7">
        <f>IF(OR(F302="",G302=""),"",(G302-F302)*1440)</f>
        <v/>
      </c>
      <c r="I302" s="8" t="n"/>
      <c r="J302" s="8" t="n"/>
      <c r="K302" s="8" t="n"/>
      <c r="L302" s="8" t="n"/>
      <c r="M302" s="8" t="n"/>
      <c r="O302" s="8" t="n"/>
      <c r="P302" s="8" t="n"/>
      <c r="Q302" s="8" t="n"/>
      <c r="R302" s="8" t="n"/>
      <c r="S302" s="8" t="n"/>
      <c r="T302" s="8" t="n"/>
      <c r="U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7">
        <f>IF(OR(F303="",G303=""),"",(G303-F303)*1440)</f>
        <v/>
      </c>
      <c r="I303" s="8" t="n"/>
      <c r="J303" s="8" t="n"/>
      <c r="K303" s="8" t="n"/>
      <c r="L303" s="8" t="n"/>
      <c r="M303" s="8" t="n"/>
      <c r="O303" s="8" t="n"/>
      <c r="P303" s="8" t="n"/>
      <c r="Q303" s="8" t="n"/>
      <c r="R303" s="8" t="n"/>
      <c r="S303" s="8" t="n"/>
      <c r="T303" s="8" t="n"/>
      <c r="U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7">
        <f>IF(OR(F304="",G304=""),"",(G304-F304)*1440)</f>
        <v/>
      </c>
      <c r="I304" s="8" t="n"/>
      <c r="J304" s="8" t="n"/>
      <c r="K304" s="8" t="n"/>
      <c r="L304" s="8" t="n"/>
      <c r="M304" s="8" t="n"/>
      <c r="O304" s="8" t="n"/>
      <c r="P304" s="8" t="n"/>
      <c r="Q304" s="8" t="n"/>
      <c r="R304" s="8" t="n"/>
      <c r="S304" s="8" t="n"/>
      <c r="T304" s="8" t="n"/>
      <c r="U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7">
        <f>IF(OR(F305="",G305=""),"",(G305-F305)*1440)</f>
        <v/>
      </c>
      <c r="I305" s="8" t="n"/>
      <c r="J305" s="8" t="n"/>
      <c r="K305" s="8" t="n"/>
      <c r="L305" s="8" t="n"/>
      <c r="M305" s="8" t="n"/>
      <c r="O305" s="8" t="n"/>
      <c r="P305" s="8" t="n"/>
      <c r="Q305" s="8" t="n"/>
      <c r="R305" s="8" t="n"/>
      <c r="S305" s="8" t="n"/>
      <c r="T305" s="8" t="n"/>
      <c r="U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7">
        <f>IF(OR(F306="",G306=""),"",(G306-F306)*1440)</f>
        <v/>
      </c>
      <c r="I306" s="8" t="n"/>
      <c r="J306" s="8" t="n"/>
      <c r="K306" s="8" t="n"/>
      <c r="L306" s="8" t="n"/>
      <c r="M306" s="8" t="n"/>
      <c r="O306" s="8" t="n"/>
      <c r="P306" s="8" t="n"/>
      <c r="Q306" s="8" t="n"/>
      <c r="R306" s="8" t="n"/>
      <c r="S306" s="8" t="n"/>
      <c r="T306" s="8" t="n"/>
      <c r="U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7">
        <f>IF(OR(F307="",G307=""),"",(G307-F307)*1440)</f>
        <v/>
      </c>
      <c r="I307" s="8" t="n"/>
      <c r="J307" s="8" t="n"/>
      <c r="K307" s="8" t="n"/>
      <c r="L307" s="8" t="n"/>
      <c r="M307" s="8" t="n"/>
      <c r="O307" s="8" t="n"/>
      <c r="P307" s="8" t="n"/>
      <c r="Q307" s="8" t="n"/>
      <c r="R307" s="8" t="n"/>
      <c r="S307" s="8" t="n"/>
      <c r="T307" s="8" t="n"/>
      <c r="U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7">
        <f>IF(OR(F308="",G308=""),"",(G308-F308)*1440)</f>
        <v/>
      </c>
      <c r="I308" s="8" t="n"/>
      <c r="J308" s="8" t="n"/>
      <c r="K308" s="8" t="n"/>
      <c r="L308" s="8" t="n"/>
      <c r="M308" s="8" t="n"/>
      <c r="O308" s="8" t="n"/>
      <c r="P308" s="8" t="n"/>
      <c r="Q308" s="8" t="n"/>
      <c r="R308" s="8" t="n"/>
      <c r="S308" s="8" t="n"/>
      <c r="T308" s="8" t="n"/>
      <c r="U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7">
        <f>IF(OR(F309="",G309=""),"",(G309-F309)*1440)</f>
        <v/>
      </c>
      <c r="I309" s="8" t="n"/>
      <c r="J309" s="8" t="n"/>
      <c r="K309" s="8" t="n"/>
      <c r="L309" s="8" t="n"/>
      <c r="M309" s="8" t="n"/>
      <c r="O309" s="8" t="n"/>
      <c r="P309" s="8" t="n"/>
      <c r="Q309" s="8" t="n"/>
      <c r="R309" s="8" t="n"/>
      <c r="S309" s="8" t="n"/>
      <c r="T309" s="8" t="n"/>
      <c r="U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7">
        <f>IF(OR(F310="",G310=""),"",(G310-F310)*1440)</f>
        <v/>
      </c>
      <c r="I310" s="8" t="n"/>
      <c r="J310" s="8" t="n"/>
      <c r="K310" s="8" t="n"/>
      <c r="L310" s="8" t="n"/>
      <c r="M310" s="8" t="n"/>
      <c r="O310" s="8" t="n"/>
      <c r="P310" s="8" t="n"/>
      <c r="Q310" s="8" t="n"/>
      <c r="R310" s="8" t="n"/>
      <c r="S310" s="8" t="n"/>
      <c r="T310" s="8" t="n"/>
      <c r="U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7">
        <f>IF(OR(F311="",G311=""),"",(G311-F311)*1440)</f>
        <v/>
      </c>
      <c r="I311" s="8" t="n"/>
      <c r="J311" s="8" t="n"/>
      <c r="K311" s="8" t="n"/>
      <c r="L311" s="8" t="n"/>
      <c r="M311" s="8" t="n"/>
      <c r="O311" s="8" t="n"/>
      <c r="P311" s="8" t="n"/>
      <c r="Q311" s="8" t="n"/>
      <c r="R311" s="8" t="n"/>
      <c r="S311" s="8" t="n"/>
      <c r="T311" s="8" t="n"/>
      <c r="U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7">
        <f>IF(OR(F312="",G312=""),"",(G312-F312)*1440)</f>
        <v/>
      </c>
      <c r="I312" s="8" t="n"/>
      <c r="J312" s="8" t="n"/>
      <c r="K312" s="8" t="n"/>
      <c r="L312" s="8" t="n"/>
      <c r="M312" s="8" t="n"/>
      <c r="O312" s="8" t="n"/>
      <c r="P312" s="8" t="n"/>
      <c r="Q312" s="8" t="n"/>
      <c r="R312" s="8" t="n"/>
      <c r="S312" s="8" t="n"/>
      <c r="T312" s="8" t="n"/>
      <c r="U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7">
        <f>IF(OR(F313="",G313=""),"",(G313-F313)*1440)</f>
        <v/>
      </c>
      <c r="I313" s="8" t="n"/>
      <c r="J313" s="8" t="n"/>
      <c r="K313" s="8" t="n"/>
      <c r="L313" s="8" t="n"/>
      <c r="M313" s="8" t="n"/>
      <c r="O313" s="8" t="n"/>
      <c r="P313" s="8" t="n"/>
      <c r="Q313" s="8" t="n"/>
      <c r="R313" s="8" t="n"/>
      <c r="S313" s="8" t="n"/>
      <c r="T313" s="8" t="n"/>
      <c r="U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7">
        <f>IF(OR(F314="",G314=""),"",(G314-F314)*1440)</f>
        <v/>
      </c>
      <c r="I314" s="8" t="n"/>
      <c r="J314" s="8" t="n"/>
      <c r="K314" s="8" t="n"/>
      <c r="L314" s="8" t="n"/>
      <c r="M314" s="8" t="n"/>
      <c r="O314" s="8" t="n"/>
      <c r="P314" s="8" t="n"/>
      <c r="Q314" s="8" t="n"/>
      <c r="R314" s="8" t="n"/>
      <c r="S314" s="8" t="n"/>
      <c r="T314" s="8" t="n"/>
      <c r="U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7">
        <f>IF(OR(F315="",G315=""),"",(G315-F315)*1440)</f>
        <v/>
      </c>
      <c r="I315" s="8" t="n"/>
      <c r="J315" s="8" t="n"/>
      <c r="K315" s="8" t="n"/>
      <c r="L315" s="8" t="n"/>
      <c r="M315" s="8" t="n"/>
      <c r="O315" s="8" t="n"/>
      <c r="P315" s="8" t="n"/>
      <c r="Q315" s="8" t="n"/>
      <c r="R315" s="8" t="n"/>
      <c r="S315" s="8" t="n"/>
      <c r="T315" s="8" t="n"/>
      <c r="U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7">
        <f>IF(OR(F316="",G316=""),"",(G316-F316)*1440)</f>
        <v/>
      </c>
      <c r="I316" s="8" t="n"/>
      <c r="J316" s="8" t="n"/>
      <c r="K316" s="8" t="n"/>
      <c r="L316" s="8" t="n"/>
      <c r="M316" s="8" t="n"/>
      <c r="O316" s="8" t="n"/>
      <c r="P316" s="8" t="n"/>
      <c r="Q316" s="8" t="n"/>
      <c r="R316" s="8" t="n"/>
      <c r="S316" s="8" t="n"/>
      <c r="T316" s="8" t="n"/>
      <c r="U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7">
        <f>IF(OR(F317="",G317=""),"",(G317-F317)*1440)</f>
        <v/>
      </c>
      <c r="I317" s="8" t="n"/>
      <c r="J317" s="8" t="n"/>
      <c r="K317" s="8" t="n"/>
      <c r="L317" s="8" t="n"/>
      <c r="M317" s="8" t="n"/>
      <c r="O317" s="8" t="n"/>
      <c r="P317" s="8" t="n"/>
      <c r="Q317" s="8" t="n"/>
      <c r="R317" s="8" t="n"/>
      <c r="S317" s="8" t="n"/>
      <c r="T317" s="8" t="n"/>
      <c r="U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7">
        <f>IF(OR(F318="",G318=""),"",(G318-F318)*1440)</f>
        <v/>
      </c>
      <c r="I318" s="8" t="n"/>
      <c r="J318" s="8" t="n"/>
      <c r="K318" s="8" t="n"/>
      <c r="L318" s="8" t="n"/>
      <c r="M318" s="8" t="n"/>
      <c r="O318" s="8" t="n"/>
      <c r="P318" s="8" t="n"/>
      <c r="Q318" s="8" t="n"/>
      <c r="R318" s="8" t="n"/>
      <c r="S318" s="8" t="n"/>
      <c r="T318" s="8" t="n"/>
      <c r="U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7">
        <f>IF(OR(F319="",G319=""),"",(G319-F319)*1440)</f>
        <v/>
      </c>
      <c r="I319" s="8" t="n"/>
      <c r="J319" s="8" t="n"/>
      <c r="K319" s="8" t="n"/>
      <c r="L319" s="8" t="n"/>
      <c r="M319" s="8" t="n"/>
      <c r="O319" s="8" t="n"/>
      <c r="P319" s="8" t="n"/>
      <c r="Q319" s="8" t="n"/>
      <c r="R319" s="8" t="n"/>
      <c r="S319" s="8" t="n"/>
      <c r="T319" s="8" t="n"/>
      <c r="U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7">
        <f>IF(OR(F320="",G320=""),"",(G320-F320)*1440)</f>
        <v/>
      </c>
      <c r="I320" s="8" t="n"/>
      <c r="J320" s="8" t="n"/>
      <c r="K320" s="8" t="n"/>
      <c r="L320" s="8" t="n"/>
      <c r="M320" s="8" t="n"/>
      <c r="O320" s="8" t="n"/>
      <c r="P320" s="8" t="n"/>
      <c r="Q320" s="8" t="n"/>
      <c r="R320" s="8" t="n"/>
      <c r="S320" s="8" t="n"/>
      <c r="T320" s="8" t="n"/>
      <c r="U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7">
        <f>IF(OR(F321="",G321=""),"",(G321-F321)*1440)</f>
        <v/>
      </c>
      <c r="I321" s="8" t="n"/>
      <c r="J321" s="8" t="n"/>
      <c r="K321" s="8" t="n"/>
      <c r="L321" s="8" t="n"/>
      <c r="M321" s="8" t="n"/>
      <c r="O321" s="8" t="n"/>
      <c r="P321" s="8" t="n"/>
      <c r="Q321" s="8" t="n"/>
      <c r="R321" s="8" t="n"/>
      <c r="S321" s="8" t="n"/>
      <c r="T321" s="8" t="n"/>
      <c r="U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7">
        <f>IF(OR(F322="",G322=""),"",(G322-F322)*1440)</f>
        <v/>
      </c>
      <c r="I322" s="8" t="n"/>
      <c r="J322" s="8" t="n"/>
      <c r="K322" s="8" t="n"/>
      <c r="L322" s="8" t="n"/>
      <c r="M322" s="8" t="n"/>
      <c r="O322" s="8" t="n"/>
      <c r="P322" s="8" t="n"/>
      <c r="Q322" s="8" t="n"/>
      <c r="R322" s="8" t="n"/>
      <c r="S322" s="8" t="n"/>
      <c r="T322" s="8" t="n"/>
      <c r="U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7">
        <f>IF(OR(F323="",G323=""),"",(G323-F323)*1440)</f>
        <v/>
      </c>
      <c r="I323" s="8" t="n"/>
      <c r="J323" s="8" t="n"/>
      <c r="K323" s="8" t="n"/>
      <c r="L323" s="8" t="n"/>
      <c r="M323" s="8" t="n"/>
      <c r="O323" s="8" t="n"/>
      <c r="P323" s="8" t="n"/>
      <c r="Q323" s="8" t="n"/>
      <c r="R323" s="8" t="n"/>
      <c r="S323" s="8" t="n"/>
      <c r="T323" s="8" t="n"/>
      <c r="U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7">
        <f>IF(OR(F324="",G324=""),"",(G324-F324)*1440)</f>
        <v/>
      </c>
      <c r="I324" s="8" t="n"/>
      <c r="J324" s="8" t="n"/>
      <c r="K324" s="8" t="n"/>
      <c r="L324" s="8" t="n"/>
      <c r="M324" s="8" t="n"/>
      <c r="O324" s="8" t="n"/>
      <c r="P324" s="8" t="n"/>
      <c r="Q324" s="8" t="n"/>
      <c r="R324" s="8" t="n"/>
      <c r="S324" s="8" t="n"/>
      <c r="T324" s="8" t="n"/>
      <c r="U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7">
        <f>IF(OR(F325="",G325=""),"",(G325-F325)*1440)</f>
        <v/>
      </c>
      <c r="I325" s="8" t="n"/>
      <c r="J325" s="8" t="n"/>
      <c r="K325" s="8" t="n"/>
      <c r="L325" s="8" t="n"/>
      <c r="M325" s="8" t="n"/>
      <c r="O325" s="8" t="n"/>
      <c r="P325" s="8" t="n"/>
      <c r="Q325" s="8" t="n"/>
      <c r="R325" s="8" t="n"/>
      <c r="S325" s="8" t="n"/>
      <c r="T325" s="8" t="n"/>
      <c r="U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7">
        <f>IF(OR(F326="",G326=""),"",(G326-F326)*1440)</f>
        <v/>
      </c>
      <c r="I326" s="8" t="n"/>
      <c r="J326" s="8" t="n"/>
      <c r="K326" s="8" t="n"/>
      <c r="L326" s="8" t="n"/>
      <c r="M326" s="8" t="n"/>
      <c r="O326" s="8" t="n"/>
      <c r="P326" s="8" t="n"/>
      <c r="Q326" s="8" t="n"/>
      <c r="R326" s="8" t="n"/>
      <c r="S326" s="8" t="n"/>
      <c r="T326" s="8" t="n"/>
      <c r="U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7">
        <f>IF(OR(F327="",G327=""),"",(G327-F327)*1440)</f>
        <v/>
      </c>
      <c r="I327" s="8" t="n"/>
      <c r="J327" s="8" t="n"/>
      <c r="K327" s="8" t="n"/>
      <c r="L327" s="8" t="n"/>
      <c r="M327" s="8" t="n"/>
      <c r="O327" s="8" t="n"/>
      <c r="P327" s="8" t="n"/>
      <c r="Q327" s="8" t="n"/>
      <c r="R327" s="8" t="n"/>
      <c r="S327" s="8" t="n"/>
      <c r="T327" s="8" t="n"/>
      <c r="U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7">
        <f>IF(OR(F328="",G328=""),"",(G328-F328)*1440)</f>
        <v/>
      </c>
      <c r="I328" s="8" t="n"/>
      <c r="J328" s="8" t="n"/>
      <c r="K328" s="8" t="n"/>
      <c r="L328" s="8" t="n"/>
      <c r="M328" s="8" t="n"/>
      <c r="O328" s="8" t="n"/>
      <c r="P328" s="8" t="n"/>
      <c r="Q328" s="8" t="n"/>
      <c r="R328" s="8" t="n"/>
      <c r="S328" s="8" t="n"/>
      <c r="T328" s="8" t="n"/>
      <c r="U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7">
        <f>IF(OR(F329="",G329=""),"",(G329-F329)*1440)</f>
        <v/>
      </c>
      <c r="I329" s="8" t="n"/>
      <c r="J329" s="8" t="n"/>
      <c r="K329" s="8" t="n"/>
      <c r="L329" s="8" t="n"/>
      <c r="M329" s="8" t="n"/>
      <c r="O329" s="8" t="n"/>
      <c r="P329" s="8" t="n"/>
      <c r="Q329" s="8" t="n"/>
      <c r="R329" s="8" t="n"/>
      <c r="S329" s="8" t="n"/>
      <c r="T329" s="8" t="n"/>
      <c r="U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7">
        <f>IF(OR(F330="",G330=""),"",(G330-F330)*1440)</f>
        <v/>
      </c>
      <c r="I330" s="8" t="n"/>
      <c r="J330" s="8" t="n"/>
      <c r="K330" s="8" t="n"/>
      <c r="L330" s="8" t="n"/>
      <c r="M330" s="8" t="n"/>
      <c r="O330" s="8" t="n"/>
      <c r="P330" s="8" t="n"/>
      <c r="Q330" s="8" t="n"/>
      <c r="R330" s="8" t="n"/>
      <c r="S330" s="8" t="n"/>
      <c r="T330" s="8" t="n"/>
      <c r="U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7">
        <f>IF(OR(F331="",G331=""),"",(G331-F331)*1440)</f>
        <v/>
      </c>
      <c r="I331" s="8" t="n"/>
      <c r="J331" s="8" t="n"/>
      <c r="K331" s="8" t="n"/>
      <c r="L331" s="8" t="n"/>
      <c r="M331" s="8" t="n"/>
      <c r="O331" s="8" t="n"/>
      <c r="P331" s="8" t="n"/>
      <c r="Q331" s="8" t="n"/>
      <c r="R331" s="8" t="n"/>
      <c r="S331" s="8" t="n"/>
      <c r="T331" s="8" t="n"/>
      <c r="U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7">
        <f>IF(OR(F332="",G332=""),"",(G332-F332)*1440)</f>
        <v/>
      </c>
      <c r="I332" s="8" t="n"/>
      <c r="J332" s="8" t="n"/>
      <c r="K332" s="8" t="n"/>
      <c r="L332" s="8" t="n"/>
      <c r="M332" s="8" t="n"/>
      <c r="O332" s="8" t="n"/>
      <c r="P332" s="8" t="n"/>
      <c r="Q332" s="8" t="n"/>
      <c r="R332" s="8" t="n"/>
      <c r="S332" s="8" t="n"/>
      <c r="T332" s="8" t="n"/>
      <c r="U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7">
        <f>IF(OR(F333="",G333=""),"",(G333-F333)*1440)</f>
        <v/>
      </c>
      <c r="I333" s="8" t="n"/>
      <c r="J333" s="8" t="n"/>
      <c r="K333" s="8" t="n"/>
      <c r="L333" s="8" t="n"/>
      <c r="M333" s="8" t="n"/>
      <c r="O333" s="8" t="n"/>
      <c r="P333" s="8" t="n"/>
      <c r="Q333" s="8" t="n"/>
      <c r="R333" s="8" t="n"/>
      <c r="S333" s="8" t="n"/>
      <c r="T333" s="8" t="n"/>
      <c r="U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7">
        <f>IF(OR(F334="",G334=""),"",(G334-F334)*1440)</f>
        <v/>
      </c>
      <c r="I334" s="8" t="n"/>
      <c r="J334" s="8" t="n"/>
      <c r="K334" s="8" t="n"/>
      <c r="L334" s="8" t="n"/>
      <c r="M334" s="8" t="n"/>
      <c r="O334" s="8" t="n"/>
      <c r="P334" s="8" t="n"/>
      <c r="Q334" s="8" t="n"/>
      <c r="R334" s="8" t="n"/>
      <c r="S334" s="8" t="n"/>
      <c r="T334" s="8" t="n"/>
      <c r="U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7">
        <f>IF(OR(F335="",G335=""),"",(G335-F335)*1440)</f>
        <v/>
      </c>
      <c r="I335" s="8" t="n"/>
      <c r="J335" s="8" t="n"/>
      <c r="K335" s="8" t="n"/>
      <c r="L335" s="8" t="n"/>
      <c r="M335" s="8" t="n"/>
      <c r="O335" s="8" t="n"/>
      <c r="P335" s="8" t="n"/>
      <c r="Q335" s="8" t="n"/>
      <c r="R335" s="8" t="n"/>
      <c r="S335" s="8" t="n"/>
      <c r="T335" s="8" t="n"/>
      <c r="U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7">
        <f>IF(OR(F336="",G336=""),"",(G336-F336)*1440)</f>
        <v/>
      </c>
      <c r="I336" s="8" t="n"/>
      <c r="J336" s="8" t="n"/>
      <c r="K336" s="8" t="n"/>
      <c r="L336" s="8" t="n"/>
      <c r="M336" s="8" t="n"/>
      <c r="O336" s="8" t="n"/>
      <c r="P336" s="8" t="n"/>
      <c r="Q336" s="8" t="n"/>
      <c r="R336" s="8" t="n"/>
      <c r="S336" s="8" t="n"/>
      <c r="T336" s="8" t="n"/>
      <c r="U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7">
        <f>IF(OR(F337="",G337=""),"",(G337-F337)*1440)</f>
        <v/>
      </c>
      <c r="I337" s="8" t="n"/>
      <c r="J337" s="8" t="n"/>
      <c r="K337" s="8" t="n"/>
      <c r="L337" s="8" t="n"/>
      <c r="M337" s="8" t="n"/>
      <c r="O337" s="8" t="n"/>
      <c r="P337" s="8" t="n"/>
      <c r="Q337" s="8" t="n"/>
      <c r="R337" s="8" t="n"/>
      <c r="S337" s="8" t="n"/>
      <c r="T337" s="8" t="n"/>
      <c r="U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7">
        <f>IF(OR(F338="",G338=""),"",(G338-F338)*1440)</f>
        <v/>
      </c>
      <c r="I338" s="8" t="n"/>
      <c r="J338" s="8" t="n"/>
      <c r="K338" s="8" t="n"/>
      <c r="L338" s="8" t="n"/>
      <c r="M338" s="8" t="n"/>
      <c r="O338" s="8" t="n"/>
      <c r="P338" s="8" t="n"/>
      <c r="Q338" s="8" t="n"/>
      <c r="R338" s="8" t="n"/>
      <c r="S338" s="8" t="n"/>
      <c r="T338" s="8" t="n"/>
      <c r="U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7">
        <f>IF(OR(F339="",G339=""),"",(G339-F339)*1440)</f>
        <v/>
      </c>
      <c r="I339" s="8" t="n"/>
      <c r="J339" s="8" t="n"/>
      <c r="K339" s="8" t="n"/>
      <c r="L339" s="8" t="n"/>
      <c r="M339" s="8" t="n"/>
      <c r="O339" s="8" t="n"/>
      <c r="P339" s="8" t="n"/>
      <c r="Q339" s="8" t="n"/>
      <c r="R339" s="8" t="n"/>
      <c r="S339" s="8" t="n"/>
      <c r="T339" s="8" t="n"/>
      <c r="U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7">
        <f>IF(OR(F340="",G340=""),"",(G340-F340)*1440)</f>
        <v/>
      </c>
      <c r="I340" s="8" t="n"/>
      <c r="J340" s="8" t="n"/>
      <c r="K340" s="8" t="n"/>
      <c r="L340" s="8" t="n"/>
      <c r="M340" s="8" t="n"/>
      <c r="O340" s="8" t="n"/>
      <c r="P340" s="8" t="n"/>
      <c r="Q340" s="8" t="n"/>
      <c r="R340" s="8" t="n"/>
      <c r="S340" s="8" t="n"/>
      <c r="T340" s="8" t="n"/>
      <c r="U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7">
        <f>IF(OR(F341="",G341=""),"",(G341-F341)*1440)</f>
        <v/>
      </c>
      <c r="I341" s="8" t="n"/>
      <c r="J341" s="8" t="n"/>
      <c r="K341" s="8" t="n"/>
      <c r="L341" s="8" t="n"/>
      <c r="M341" s="8" t="n"/>
      <c r="O341" s="8" t="n"/>
      <c r="P341" s="8" t="n"/>
      <c r="Q341" s="8" t="n"/>
      <c r="R341" s="8" t="n"/>
      <c r="S341" s="8" t="n"/>
      <c r="T341" s="8" t="n"/>
      <c r="U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7">
        <f>IF(OR(F342="",G342=""),"",(G342-F342)*1440)</f>
        <v/>
      </c>
      <c r="I342" s="8" t="n"/>
      <c r="J342" s="8" t="n"/>
      <c r="K342" s="8" t="n"/>
      <c r="L342" s="8" t="n"/>
      <c r="M342" s="8" t="n"/>
      <c r="O342" s="8" t="n"/>
      <c r="P342" s="8" t="n"/>
      <c r="Q342" s="8" t="n"/>
      <c r="R342" s="8" t="n"/>
      <c r="S342" s="8" t="n"/>
      <c r="T342" s="8" t="n"/>
      <c r="U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7">
        <f>IF(OR(F343="",G343=""),"",(G343-F343)*1440)</f>
        <v/>
      </c>
      <c r="I343" s="8" t="n"/>
      <c r="J343" s="8" t="n"/>
      <c r="K343" s="8" t="n"/>
      <c r="L343" s="8" t="n"/>
      <c r="M343" s="8" t="n"/>
      <c r="O343" s="8" t="n"/>
      <c r="P343" s="8" t="n"/>
      <c r="Q343" s="8" t="n"/>
      <c r="R343" s="8" t="n"/>
      <c r="S343" s="8" t="n"/>
      <c r="T343" s="8" t="n"/>
      <c r="U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7">
        <f>IF(OR(F344="",G344=""),"",(G344-F344)*1440)</f>
        <v/>
      </c>
      <c r="I344" s="8" t="n"/>
      <c r="J344" s="8" t="n"/>
      <c r="K344" s="8" t="n"/>
      <c r="L344" s="8" t="n"/>
      <c r="M344" s="8" t="n"/>
      <c r="O344" s="8" t="n"/>
      <c r="P344" s="8" t="n"/>
      <c r="Q344" s="8" t="n"/>
      <c r="R344" s="8" t="n"/>
      <c r="S344" s="8" t="n"/>
      <c r="T344" s="8" t="n"/>
      <c r="U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7">
        <f>IF(OR(F345="",G345=""),"",(G345-F345)*1440)</f>
        <v/>
      </c>
      <c r="I345" s="8" t="n"/>
      <c r="J345" s="8" t="n"/>
      <c r="K345" s="8" t="n"/>
      <c r="L345" s="8" t="n"/>
      <c r="M345" s="8" t="n"/>
      <c r="O345" s="8" t="n"/>
      <c r="P345" s="8" t="n"/>
      <c r="Q345" s="8" t="n"/>
      <c r="R345" s="8" t="n"/>
      <c r="S345" s="8" t="n"/>
      <c r="T345" s="8" t="n"/>
      <c r="U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7">
        <f>IF(OR(F346="",G346=""),"",(G346-F346)*1440)</f>
        <v/>
      </c>
      <c r="I346" s="8" t="n"/>
      <c r="J346" s="8" t="n"/>
      <c r="K346" s="8" t="n"/>
      <c r="L346" s="8" t="n"/>
      <c r="M346" s="8" t="n"/>
      <c r="O346" s="8" t="n"/>
      <c r="P346" s="8" t="n"/>
      <c r="Q346" s="8" t="n"/>
      <c r="R346" s="8" t="n"/>
      <c r="S346" s="8" t="n"/>
      <c r="T346" s="8" t="n"/>
      <c r="U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7">
        <f>IF(OR(F347="",G347=""),"",(G347-F347)*1440)</f>
        <v/>
      </c>
      <c r="I347" s="8" t="n"/>
      <c r="J347" s="8" t="n"/>
      <c r="K347" s="8" t="n"/>
      <c r="L347" s="8" t="n"/>
      <c r="M347" s="8" t="n"/>
      <c r="O347" s="8" t="n"/>
      <c r="P347" s="8" t="n"/>
      <c r="Q347" s="8" t="n"/>
      <c r="R347" s="8" t="n"/>
      <c r="S347" s="8" t="n"/>
      <c r="T347" s="8" t="n"/>
      <c r="U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7">
        <f>IF(OR(F348="",G348=""),"",(G348-F348)*1440)</f>
        <v/>
      </c>
      <c r="I348" s="8" t="n"/>
      <c r="J348" s="8" t="n"/>
      <c r="K348" s="8" t="n"/>
      <c r="L348" s="8" t="n"/>
      <c r="M348" s="8" t="n"/>
      <c r="O348" s="8" t="n"/>
      <c r="P348" s="8" t="n"/>
      <c r="Q348" s="8" t="n"/>
      <c r="R348" s="8" t="n"/>
      <c r="S348" s="8" t="n"/>
      <c r="T348" s="8" t="n"/>
      <c r="U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7">
        <f>IF(OR(F349="",G349=""),"",(G349-F349)*1440)</f>
        <v/>
      </c>
      <c r="I349" s="8" t="n"/>
      <c r="J349" s="8" t="n"/>
      <c r="K349" s="8" t="n"/>
      <c r="L349" s="8" t="n"/>
      <c r="M349" s="8" t="n"/>
      <c r="O349" s="8" t="n"/>
      <c r="P349" s="8" t="n"/>
      <c r="Q349" s="8" t="n"/>
      <c r="R349" s="8" t="n"/>
      <c r="S349" s="8" t="n"/>
      <c r="T349" s="8" t="n"/>
      <c r="U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7">
        <f>IF(OR(F350="",G350=""),"",(G350-F350)*1440)</f>
        <v/>
      </c>
      <c r="I350" s="8" t="n"/>
      <c r="J350" s="8" t="n"/>
      <c r="K350" s="8" t="n"/>
      <c r="L350" s="8" t="n"/>
      <c r="M350" s="8" t="n"/>
      <c r="O350" s="8" t="n"/>
      <c r="P350" s="8" t="n"/>
      <c r="Q350" s="8" t="n"/>
      <c r="R350" s="8" t="n"/>
      <c r="S350" s="8" t="n"/>
      <c r="T350" s="8" t="n"/>
      <c r="U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7">
        <f>IF(OR(F351="",G351=""),"",(G351-F351)*1440)</f>
        <v/>
      </c>
      <c r="I351" s="8" t="n"/>
      <c r="J351" s="8" t="n"/>
      <c r="K351" s="8" t="n"/>
      <c r="L351" s="8" t="n"/>
      <c r="M351" s="8" t="n"/>
      <c r="O351" s="8" t="n"/>
      <c r="P351" s="8" t="n"/>
      <c r="Q351" s="8" t="n"/>
      <c r="R351" s="8" t="n"/>
      <c r="S351" s="8" t="n"/>
      <c r="T351" s="8" t="n"/>
      <c r="U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7">
        <f>IF(OR(F352="",G352=""),"",(G352-F352)*1440)</f>
        <v/>
      </c>
      <c r="I352" s="8" t="n"/>
      <c r="J352" s="8" t="n"/>
      <c r="K352" s="8" t="n"/>
      <c r="L352" s="8" t="n"/>
      <c r="M352" s="8" t="n"/>
      <c r="O352" s="8" t="n"/>
      <c r="P352" s="8" t="n"/>
      <c r="Q352" s="8" t="n"/>
      <c r="R352" s="8" t="n"/>
      <c r="S352" s="8" t="n"/>
      <c r="T352" s="8" t="n"/>
      <c r="U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7">
        <f>IF(OR(F353="",G353=""),"",(G353-F353)*1440)</f>
        <v/>
      </c>
      <c r="I353" s="8" t="n"/>
      <c r="J353" s="8" t="n"/>
      <c r="K353" s="8" t="n"/>
      <c r="L353" s="8" t="n"/>
      <c r="M353" s="8" t="n"/>
      <c r="O353" s="8" t="n"/>
      <c r="P353" s="8" t="n"/>
      <c r="Q353" s="8" t="n"/>
      <c r="R353" s="8" t="n"/>
      <c r="S353" s="8" t="n"/>
      <c r="T353" s="8" t="n"/>
      <c r="U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7">
        <f>IF(OR(F354="",G354=""),"",(G354-F354)*1440)</f>
        <v/>
      </c>
      <c r="I354" s="8" t="n"/>
      <c r="J354" s="8" t="n"/>
      <c r="K354" s="8" t="n"/>
      <c r="L354" s="8" t="n"/>
      <c r="M354" s="8" t="n"/>
      <c r="O354" s="8" t="n"/>
      <c r="P354" s="8" t="n"/>
      <c r="Q354" s="8" t="n"/>
      <c r="R354" s="8" t="n"/>
      <c r="S354" s="8" t="n"/>
      <c r="T354" s="8" t="n"/>
      <c r="U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7">
        <f>IF(OR(F355="",G355=""),"",(G355-F355)*1440)</f>
        <v/>
      </c>
      <c r="I355" s="8" t="n"/>
      <c r="J355" s="8" t="n"/>
      <c r="K355" s="8" t="n"/>
      <c r="L355" s="8" t="n"/>
      <c r="M355" s="8" t="n"/>
      <c r="O355" s="8" t="n"/>
      <c r="P355" s="8" t="n"/>
      <c r="Q355" s="8" t="n"/>
      <c r="R355" s="8" t="n"/>
      <c r="S355" s="8" t="n"/>
      <c r="T355" s="8" t="n"/>
      <c r="U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7">
        <f>IF(OR(F356="",G356=""),"",(G356-F356)*1440)</f>
        <v/>
      </c>
      <c r="I356" s="8" t="n"/>
      <c r="J356" s="8" t="n"/>
      <c r="K356" s="8" t="n"/>
      <c r="L356" s="8" t="n"/>
      <c r="M356" s="8" t="n"/>
      <c r="O356" s="8" t="n"/>
      <c r="P356" s="8" t="n"/>
      <c r="Q356" s="8" t="n"/>
      <c r="R356" s="8" t="n"/>
      <c r="S356" s="8" t="n"/>
      <c r="T356" s="8" t="n"/>
      <c r="U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7">
        <f>IF(OR(F357="",G357=""),"",(G357-F357)*1440)</f>
        <v/>
      </c>
      <c r="I357" s="8" t="n"/>
      <c r="J357" s="8" t="n"/>
      <c r="K357" s="8" t="n"/>
      <c r="L357" s="8" t="n"/>
      <c r="M357" s="8" t="n"/>
      <c r="O357" s="8" t="n"/>
      <c r="P357" s="8" t="n"/>
      <c r="Q357" s="8" t="n"/>
      <c r="R357" s="8" t="n"/>
      <c r="S357" s="8" t="n"/>
      <c r="T357" s="8" t="n"/>
      <c r="U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7">
        <f>IF(OR(F358="",G358=""),"",(G358-F358)*1440)</f>
        <v/>
      </c>
      <c r="I358" s="8" t="n"/>
      <c r="J358" s="8" t="n"/>
      <c r="K358" s="8" t="n"/>
      <c r="L358" s="8" t="n"/>
      <c r="M358" s="8" t="n"/>
      <c r="O358" s="8" t="n"/>
      <c r="P358" s="8" t="n"/>
      <c r="Q358" s="8" t="n"/>
      <c r="R358" s="8" t="n"/>
      <c r="S358" s="8" t="n"/>
      <c r="T358" s="8" t="n"/>
      <c r="U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7">
        <f>IF(OR(F359="",G359=""),"",(G359-F359)*1440)</f>
        <v/>
      </c>
      <c r="I359" s="8" t="n"/>
      <c r="J359" s="8" t="n"/>
      <c r="K359" s="8" t="n"/>
      <c r="L359" s="8" t="n"/>
      <c r="M359" s="8" t="n"/>
      <c r="O359" s="8" t="n"/>
      <c r="P359" s="8" t="n"/>
      <c r="Q359" s="8" t="n"/>
      <c r="R359" s="8" t="n"/>
      <c r="S359" s="8" t="n"/>
      <c r="T359" s="8" t="n"/>
      <c r="U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7">
        <f>IF(OR(F360="",G360=""),"",(G360-F360)*1440)</f>
        <v/>
      </c>
      <c r="I360" s="8" t="n"/>
      <c r="J360" s="8" t="n"/>
      <c r="K360" s="8" t="n"/>
      <c r="L360" s="8" t="n"/>
      <c r="M360" s="8" t="n"/>
      <c r="O360" s="8" t="n"/>
      <c r="P360" s="8" t="n"/>
      <c r="Q360" s="8" t="n"/>
      <c r="R360" s="8" t="n"/>
      <c r="S360" s="8" t="n"/>
      <c r="T360" s="8" t="n"/>
      <c r="U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7">
        <f>IF(OR(F361="",G361=""),"",(G361-F361)*1440)</f>
        <v/>
      </c>
      <c r="I361" s="8" t="n"/>
      <c r="J361" s="8" t="n"/>
      <c r="K361" s="8" t="n"/>
      <c r="L361" s="8" t="n"/>
      <c r="M361" s="8" t="n"/>
      <c r="O361" s="8" t="n"/>
      <c r="P361" s="8" t="n"/>
      <c r="Q361" s="8" t="n"/>
      <c r="R361" s="8" t="n"/>
      <c r="S361" s="8" t="n"/>
      <c r="T361" s="8" t="n"/>
      <c r="U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7">
        <f>IF(OR(F362="",G362=""),"",(G362-F362)*1440)</f>
        <v/>
      </c>
      <c r="I362" s="8" t="n"/>
      <c r="J362" s="8" t="n"/>
      <c r="K362" s="8" t="n"/>
      <c r="L362" s="8" t="n"/>
      <c r="M362" s="8" t="n"/>
      <c r="O362" s="8" t="n"/>
      <c r="P362" s="8" t="n"/>
      <c r="Q362" s="8" t="n"/>
      <c r="R362" s="8" t="n"/>
      <c r="S362" s="8" t="n"/>
      <c r="T362" s="8" t="n"/>
      <c r="U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7">
        <f>IF(OR(F363="",G363=""),"",(G363-F363)*1440)</f>
        <v/>
      </c>
      <c r="I363" s="8" t="n"/>
      <c r="J363" s="8" t="n"/>
      <c r="K363" s="8" t="n"/>
      <c r="L363" s="8" t="n"/>
      <c r="M363" s="8" t="n"/>
      <c r="O363" s="8" t="n"/>
      <c r="P363" s="8" t="n"/>
      <c r="Q363" s="8" t="n"/>
      <c r="R363" s="8" t="n"/>
      <c r="S363" s="8" t="n"/>
      <c r="T363" s="8" t="n"/>
      <c r="U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7">
        <f>IF(OR(F364="",G364=""),"",(G364-F364)*1440)</f>
        <v/>
      </c>
      <c r="I364" s="8" t="n"/>
      <c r="J364" s="8" t="n"/>
      <c r="K364" s="8" t="n"/>
      <c r="L364" s="8" t="n"/>
      <c r="M364" s="8" t="n"/>
      <c r="O364" s="8" t="n"/>
      <c r="P364" s="8" t="n"/>
      <c r="Q364" s="8" t="n"/>
      <c r="R364" s="8" t="n"/>
      <c r="S364" s="8" t="n"/>
      <c r="T364" s="8" t="n"/>
      <c r="U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7">
        <f>IF(OR(F365="",G365=""),"",(G365-F365)*1440)</f>
        <v/>
      </c>
      <c r="I365" s="8" t="n"/>
      <c r="J365" s="8" t="n"/>
      <c r="K365" s="8" t="n"/>
      <c r="L365" s="8" t="n"/>
      <c r="M365" s="8" t="n"/>
      <c r="O365" s="8" t="n"/>
      <c r="P365" s="8" t="n"/>
      <c r="Q365" s="8" t="n"/>
      <c r="R365" s="8" t="n"/>
      <c r="S365" s="8" t="n"/>
      <c r="T365" s="8" t="n"/>
      <c r="U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7">
        <f>IF(OR(F366="",G366=""),"",(G366-F366)*1440)</f>
        <v/>
      </c>
      <c r="I366" s="8" t="n"/>
      <c r="J366" s="8" t="n"/>
      <c r="K366" s="8" t="n"/>
      <c r="L366" s="8" t="n"/>
      <c r="M366" s="8" t="n"/>
      <c r="O366" s="8" t="n"/>
      <c r="P366" s="8" t="n"/>
      <c r="Q366" s="8" t="n"/>
      <c r="R366" s="8" t="n"/>
      <c r="S366" s="8" t="n"/>
      <c r="T366" s="8" t="n"/>
      <c r="U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7">
        <f>IF(OR(F367="",G367=""),"",(G367-F367)*1440)</f>
        <v/>
      </c>
      <c r="I367" s="8" t="n"/>
      <c r="J367" s="8" t="n"/>
      <c r="K367" s="8" t="n"/>
      <c r="L367" s="8" t="n"/>
      <c r="M367" s="8" t="n"/>
      <c r="O367" s="8" t="n"/>
      <c r="P367" s="8" t="n"/>
      <c r="Q367" s="8" t="n"/>
      <c r="R367" s="8" t="n"/>
      <c r="S367" s="8" t="n"/>
      <c r="T367" s="8" t="n"/>
      <c r="U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7">
        <f>IF(OR(F368="",G368=""),"",(G368-F368)*1440)</f>
        <v/>
      </c>
      <c r="I368" s="8" t="n"/>
      <c r="J368" s="8" t="n"/>
      <c r="K368" s="8" t="n"/>
      <c r="L368" s="8" t="n"/>
      <c r="M368" s="8" t="n"/>
      <c r="O368" s="8" t="n"/>
      <c r="P368" s="8" t="n"/>
      <c r="Q368" s="8" t="n"/>
      <c r="R368" s="8" t="n"/>
      <c r="S368" s="8" t="n"/>
      <c r="T368" s="8" t="n"/>
      <c r="U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7">
        <f>IF(OR(F369="",G369=""),"",(G369-F369)*1440)</f>
        <v/>
      </c>
      <c r="I369" s="8" t="n"/>
      <c r="J369" s="8" t="n"/>
      <c r="K369" s="8" t="n"/>
      <c r="L369" s="8" t="n"/>
      <c r="M369" s="8" t="n"/>
      <c r="O369" s="8" t="n"/>
      <c r="P369" s="8" t="n"/>
      <c r="Q369" s="8" t="n"/>
      <c r="R369" s="8" t="n"/>
      <c r="S369" s="8" t="n"/>
      <c r="T369" s="8" t="n"/>
      <c r="U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7">
        <f>IF(OR(F370="",G370=""),"",(G370-F370)*1440)</f>
        <v/>
      </c>
      <c r="I370" s="8" t="n"/>
      <c r="J370" s="8" t="n"/>
      <c r="K370" s="8" t="n"/>
      <c r="L370" s="8" t="n"/>
      <c r="M370" s="8" t="n"/>
      <c r="O370" s="8" t="n"/>
      <c r="P370" s="8" t="n"/>
      <c r="Q370" s="8" t="n"/>
      <c r="R370" s="8" t="n"/>
      <c r="S370" s="8" t="n"/>
      <c r="T370" s="8" t="n"/>
      <c r="U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7">
        <f>IF(OR(F371="",G371=""),"",(G371-F371)*1440)</f>
        <v/>
      </c>
      <c r="I371" s="8" t="n"/>
      <c r="J371" s="8" t="n"/>
      <c r="K371" s="8" t="n"/>
      <c r="L371" s="8" t="n"/>
      <c r="M371" s="8" t="n"/>
      <c r="O371" s="8" t="n"/>
      <c r="P371" s="8" t="n"/>
      <c r="Q371" s="8" t="n"/>
      <c r="R371" s="8" t="n"/>
      <c r="S371" s="8" t="n"/>
      <c r="T371" s="8" t="n"/>
      <c r="U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7">
        <f>IF(OR(F372="",G372=""),"",(G372-F372)*1440)</f>
        <v/>
      </c>
      <c r="I372" s="8" t="n"/>
      <c r="J372" s="8" t="n"/>
      <c r="K372" s="8" t="n"/>
      <c r="L372" s="8" t="n"/>
      <c r="M372" s="8" t="n"/>
      <c r="O372" s="8" t="n"/>
      <c r="P372" s="8" t="n"/>
      <c r="Q372" s="8" t="n"/>
      <c r="R372" s="8" t="n"/>
      <c r="S372" s="8" t="n"/>
      <c r="T372" s="8" t="n"/>
      <c r="U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7">
        <f>IF(OR(F373="",G373=""),"",(G373-F373)*1440)</f>
        <v/>
      </c>
      <c r="I373" s="8" t="n"/>
      <c r="J373" s="8" t="n"/>
      <c r="K373" s="8" t="n"/>
      <c r="L373" s="8" t="n"/>
      <c r="M373" s="8" t="n"/>
      <c r="O373" s="8" t="n"/>
      <c r="P373" s="8" t="n"/>
      <c r="Q373" s="8" t="n"/>
      <c r="R373" s="8" t="n"/>
      <c r="S373" s="8" t="n"/>
      <c r="T373" s="8" t="n"/>
      <c r="U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7">
        <f>IF(OR(F374="",G374=""),"",(G374-F374)*1440)</f>
        <v/>
      </c>
      <c r="I374" s="8" t="n"/>
      <c r="J374" s="8" t="n"/>
      <c r="K374" s="8" t="n"/>
      <c r="L374" s="8" t="n"/>
      <c r="M374" s="8" t="n"/>
      <c r="O374" s="8" t="n"/>
      <c r="P374" s="8" t="n"/>
      <c r="Q374" s="8" t="n"/>
      <c r="R374" s="8" t="n"/>
      <c r="S374" s="8" t="n"/>
      <c r="T374" s="8" t="n"/>
      <c r="U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7">
        <f>IF(OR(F375="",G375=""),"",(G375-F375)*1440)</f>
        <v/>
      </c>
      <c r="I375" s="8" t="n"/>
      <c r="J375" s="8" t="n"/>
      <c r="K375" s="8" t="n"/>
      <c r="L375" s="8" t="n"/>
      <c r="M375" s="8" t="n"/>
      <c r="O375" s="8" t="n"/>
      <c r="P375" s="8" t="n"/>
      <c r="Q375" s="8" t="n"/>
      <c r="R375" s="8" t="n"/>
      <c r="S375" s="8" t="n"/>
      <c r="T375" s="8" t="n"/>
      <c r="U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7">
        <f>IF(OR(F376="",G376=""),"",(G376-F376)*1440)</f>
        <v/>
      </c>
      <c r="I376" s="8" t="n"/>
      <c r="J376" s="8" t="n"/>
      <c r="K376" s="8" t="n"/>
      <c r="L376" s="8" t="n"/>
      <c r="M376" s="8" t="n"/>
      <c r="O376" s="8" t="n"/>
      <c r="P376" s="8" t="n"/>
      <c r="Q376" s="8" t="n"/>
      <c r="R376" s="8" t="n"/>
      <c r="S376" s="8" t="n"/>
      <c r="T376" s="8" t="n"/>
      <c r="U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7">
        <f>IF(OR(F377="",G377=""),"",(G377-F377)*1440)</f>
        <v/>
      </c>
      <c r="I377" s="8" t="n"/>
      <c r="J377" s="8" t="n"/>
      <c r="K377" s="8" t="n"/>
      <c r="L377" s="8" t="n"/>
      <c r="M377" s="8" t="n"/>
      <c r="O377" s="8" t="n"/>
      <c r="P377" s="8" t="n"/>
      <c r="Q377" s="8" t="n"/>
      <c r="R377" s="8" t="n"/>
      <c r="S377" s="8" t="n"/>
      <c r="T377" s="8" t="n"/>
      <c r="U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7">
        <f>IF(OR(F378="",G378=""),"",(G378-F378)*1440)</f>
        <v/>
      </c>
      <c r="I378" s="8" t="n"/>
      <c r="J378" s="8" t="n"/>
      <c r="K378" s="8" t="n"/>
      <c r="L378" s="8" t="n"/>
      <c r="M378" s="8" t="n"/>
      <c r="O378" s="8" t="n"/>
      <c r="P378" s="8" t="n"/>
      <c r="Q378" s="8" t="n"/>
      <c r="R378" s="8" t="n"/>
      <c r="S378" s="8" t="n"/>
      <c r="T378" s="8" t="n"/>
      <c r="U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7">
        <f>IF(OR(F379="",G379=""),"",(G379-F379)*1440)</f>
        <v/>
      </c>
      <c r="I379" s="8" t="n"/>
      <c r="J379" s="8" t="n"/>
      <c r="K379" s="8" t="n"/>
      <c r="L379" s="8" t="n"/>
      <c r="M379" s="8" t="n"/>
      <c r="O379" s="8" t="n"/>
      <c r="P379" s="8" t="n"/>
      <c r="Q379" s="8" t="n"/>
      <c r="R379" s="8" t="n"/>
      <c r="S379" s="8" t="n"/>
      <c r="T379" s="8" t="n"/>
      <c r="U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7">
        <f>IF(OR(F380="",G380=""),"",(G380-F380)*1440)</f>
        <v/>
      </c>
      <c r="I380" s="8" t="n"/>
      <c r="J380" s="8" t="n"/>
      <c r="K380" s="8" t="n"/>
      <c r="L380" s="8" t="n"/>
      <c r="M380" s="8" t="n"/>
      <c r="O380" s="8" t="n"/>
      <c r="P380" s="8" t="n"/>
      <c r="Q380" s="8" t="n"/>
      <c r="R380" s="8" t="n"/>
      <c r="S380" s="8" t="n"/>
      <c r="T380" s="8" t="n"/>
      <c r="U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7">
        <f>IF(OR(F381="",G381=""),"",(G381-F381)*1440)</f>
        <v/>
      </c>
      <c r="I381" s="8" t="n"/>
      <c r="J381" s="8" t="n"/>
      <c r="K381" s="8" t="n"/>
      <c r="L381" s="8" t="n"/>
      <c r="M381" s="8" t="n"/>
      <c r="O381" s="8" t="n"/>
      <c r="P381" s="8" t="n"/>
      <c r="Q381" s="8" t="n"/>
      <c r="R381" s="8" t="n"/>
      <c r="S381" s="8" t="n"/>
      <c r="T381" s="8" t="n"/>
      <c r="U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7">
        <f>IF(OR(F382="",G382=""),"",(G382-F382)*1440)</f>
        <v/>
      </c>
      <c r="I382" s="8" t="n"/>
      <c r="J382" s="8" t="n"/>
      <c r="K382" s="8" t="n"/>
      <c r="L382" s="8" t="n"/>
      <c r="M382" s="8" t="n"/>
      <c r="O382" s="8" t="n"/>
      <c r="P382" s="8" t="n"/>
      <c r="Q382" s="8" t="n"/>
      <c r="R382" s="8" t="n"/>
      <c r="S382" s="8" t="n"/>
      <c r="T382" s="8" t="n"/>
      <c r="U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7">
        <f>IF(OR(F383="",G383=""),"",(G383-F383)*1440)</f>
        <v/>
      </c>
      <c r="I383" s="8" t="n"/>
      <c r="J383" s="8" t="n"/>
      <c r="K383" s="8" t="n"/>
      <c r="L383" s="8" t="n"/>
      <c r="M383" s="8" t="n"/>
      <c r="O383" s="8" t="n"/>
      <c r="P383" s="8" t="n"/>
      <c r="Q383" s="8" t="n"/>
      <c r="R383" s="8" t="n"/>
      <c r="S383" s="8" t="n"/>
      <c r="T383" s="8" t="n"/>
      <c r="U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7">
        <f>IF(OR(F384="",G384=""),"",(G384-F384)*1440)</f>
        <v/>
      </c>
      <c r="I384" s="8" t="n"/>
      <c r="J384" s="8" t="n"/>
      <c r="K384" s="8" t="n"/>
      <c r="L384" s="8" t="n"/>
      <c r="M384" s="8" t="n"/>
      <c r="O384" s="8" t="n"/>
      <c r="P384" s="8" t="n"/>
      <c r="Q384" s="8" t="n"/>
      <c r="R384" s="8" t="n"/>
      <c r="S384" s="8" t="n"/>
      <c r="T384" s="8" t="n"/>
      <c r="U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7">
        <f>IF(OR(F385="",G385=""),"",(G385-F385)*1440)</f>
        <v/>
      </c>
      <c r="I385" s="8" t="n"/>
      <c r="J385" s="8" t="n"/>
      <c r="K385" s="8" t="n"/>
      <c r="L385" s="8" t="n"/>
      <c r="M385" s="8" t="n"/>
      <c r="O385" s="8" t="n"/>
      <c r="P385" s="8" t="n"/>
      <c r="Q385" s="8" t="n"/>
      <c r="R385" s="8" t="n"/>
      <c r="S385" s="8" t="n"/>
      <c r="T385" s="8" t="n"/>
      <c r="U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7">
        <f>IF(OR(F386="",G386=""),"",(G386-F386)*1440)</f>
        <v/>
      </c>
      <c r="I386" s="8" t="n"/>
      <c r="J386" s="8" t="n"/>
      <c r="K386" s="8" t="n"/>
      <c r="L386" s="8" t="n"/>
      <c r="M386" s="8" t="n"/>
      <c r="O386" s="8" t="n"/>
      <c r="P386" s="8" t="n"/>
      <c r="Q386" s="8" t="n"/>
      <c r="R386" s="8" t="n"/>
      <c r="S386" s="8" t="n"/>
      <c r="T386" s="8" t="n"/>
      <c r="U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7">
        <f>IF(OR(F387="",G387=""),"",(G387-F387)*1440)</f>
        <v/>
      </c>
      <c r="I387" s="8" t="n"/>
      <c r="J387" s="8" t="n"/>
      <c r="K387" s="8" t="n"/>
      <c r="L387" s="8" t="n"/>
      <c r="M387" s="8" t="n"/>
      <c r="O387" s="8" t="n"/>
      <c r="P387" s="8" t="n"/>
      <c r="Q387" s="8" t="n"/>
      <c r="R387" s="8" t="n"/>
      <c r="S387" s="8" t="n"/>
      <c r="T387" s="8" t="n"/>
      <c r="U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7">
        <f>IF(OR(F388="",G388=""),"",(G388-F388)*1440)</f>
        <v/>
      </c>
      <c r="I388" s="8" t="n"/>
      <c r="J388" s="8" t="n"/>
      <c r="K388" s="8" t="n"/>
      <c r="L388" s="8" t="n"/>
      <c r="M388" s="8" t="n"/>
      <c r="O388" s="8" t="n"/>
      <c r="P388" s="8" t="n"/>
      <c r="Q388" s="8" t="n"/>
      <c r="R388" s="8" t="n"/>
      <c r="S388" s="8" t="n"/>
      <c r="T388" s="8" t="n"/>
      <c r="U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7">
        <f>IF(OR(F389="",G389=""),"",(G389-F389)*1440)</f>
        <v/>
      </c>
      <c r="I389" s="8" t="n"/>
      <c r="J389" s="8" t="n"/>
      <c r="K389" s="8" t="n"/>
      <c r="L389" s="8" t="n"/>
      <c r="M389" s="8" t="n"/>
      <c r="O389" s="8" t="n"/>
      <c r="P389" s="8" t="n"/>
      <c r="Q389" s="8" t="n"/>
      <c r="R389" s="8" t="n"/>
      <c r="S389" s="8" t="n"/>
      <c r="T389" s="8" t="n"/>
      <c r="U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7">
        <f>IF(OR(F390="",G390=""),"",(G390-F390)*1440)</f>
        <v/>
      </c>
      <c r="I390" s="8" t="n"/>
      <c r="J390" s="8" t="n"/>
      <c r="K390" s="8" t="n"/>
      <c r="L390" s="8" t="n"/>
      <c r="M390" s="8" t="n"/>
      <c r="O390" s="8" t="n"/>
      <c r="P390" s="8" t="n"/>
      <c r="Q390" s="8" t="n"/>
      <c r="R390" s="8" t="n"/>
      <c r="S390" s="8" t="n"/>
      <c r="T390" s="8" t="n"/>
      <c r="U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7">
        <f>IF(OR(F391="",G391=""),"",(G391-F391)*1440)</f>
        <v/>
      </c>
      <c r="I391" s="8" t="n"/>
      <c r="J391" s="8" t="n"/>
      <c r="K391" s="8" t="n"/>
      <c r="L391" s="8" t="n"/>
      <c r="M391" s="8" t="n"/>
      <c r="O391" s="8" t="n"/>
      <c r="P391" s="8" t="n"/>
      <c r="Q391" s="8" t="n"/>
      <c r="R391" s="8" t="n"/>
      <c r="S391" s="8" t="n"/>
      <c r="T391" s="8" t="n"/>
      <c r="U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7">
        <f>IF(OR(F392="",G392=""),"",(G392-F392)*1440)</f>
        <v/>
      </c>
      <c r="I392" s="8" t="n"/>
      <c r="J392" s="8" t="n"/>
      <c r="K392" s="8" t="n"/>
      <c r="L392" s="8" t="n"/>
      <c r="M392" s="8" t="n"/>
      <c r="O392" s="8" t="n"/>
      <c r="P392" s="8" t="n"/>
      <c r="Q392" s="8" t="n"/>
      <c r="R392" s="8" t="n"/>
      <c r="S392" s="8" t="n"/>
      <c r="T392" s="8" t="n"/>
      <c r="U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7">
        <f>IF(OR(F393="",G393=""),"",(G393-F393)*1440)</f>
        <v/>
      </c>
      <c r="I393" s="8" t="n"/>
      <c r="J393" s="8" t="n"/>
      <c r="K393" s="8" t="n"/>
      <c r="L393" s="8" t="n"/>
      <c r="M393" s="8" t="n"/>
      <c r="O393" s="8" t="n"/>
      <c r="P393" s="8" t="n"/>
      <c r="Q393" s="8" t="n"/>
      <c r="R393" s="8" t="n"/>
      <c r="S393" s="8" t="n"/>
      <c r="T393" s="8" t="n"/>
      <c r="U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7">
        <f>IF(OR(F394="",G394=""),"",(G394-F394)*1440)</f>
        <v/>
      </c>
      <c r="I394" s="8" t="n"/>
      <c r="J394" s="8" t="n"/>
      <c r="K394" s="8" t="n"/>
      <c r="L394" s="8" t="n"/>
      <c r="M394" s="8" t="n"/>
      <c r="O394" s="8" t="n"/>
      <c r="P394" s="8" t="n"/>
      <c r="Q394" s="8" t="n"/>
      <c r="R394" s="8" t="n"/>
      <c r="S394" s="8" t="n"/>
      <c r="T394" s="8" t="n"/>
      <c r="U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7">
        <f>IF(OR(F395="",G395=""),"",(G395-F395)*1440)</f>
        <v/>
      </c>
      <c r="I395" s="8" t="n"/>
      <c r="J395" s="8" t="n"/>
      <c r="K395" s="8" t="n"/>
      <c r="L395" s="8" t="n"/>
      <c r="M395" s="8" t="n"/>
      <c r="O395" s="8" t="n"/>
      <c r="P395" s="8" t="n"/>
      <c r="Q395" s="8" t="n"/>
      <c r="R395" s="8" t="n"/>
      <c r="S395" s="8" t="n"/>
      <c r="T395" s="8" t="n"/>
      <c r="U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7">
        <f>IF(OR(F396="",G396=""),"",(G396-F396)*1440)</f>
        <v/>
      </c>
      <c r="I396" s="8" t="n"/>
      <c r="J396" s="8" t="n"/>
      <c r="K396" s="8" t="n"/>
      <c r="L396" s="8" t="n"/>
      <c r="M396" s="8" t="n"/>
      <c r="O396" s="8" t="n"/>
      <c r="P396" s="8" t="n"/>
      <c r="Q396" s="8" t="n"/>
      <c r="R396" s="8" t="n"/>
      <c r="S396" s="8" t="n"/>
      <c r="T396" s="8" t="n"/>
      <c r="U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7">
        <f>IF(OR(F397="",G397=""),"",(G397-F397)*1440)</f>
        <v/>
      </c>
      <c r="I397" s="8" t="n"/>
      <c r="J397" s="8" t="n"/>
      <c r="K397" s="8" t="n"/>
      <c r="L397" s="8" t="n"/>
      <c r="M397" s="8" t="n"/>
      <c r="O397" s="8" t="n"/>
      <c r="P397" s="8" t="n"/>
      <c r="Q397" s="8" t="n"/>
      <c r="R397" s="8" t="n"/>
      <c r="S397" s="8" t="n"/>
      <c r="T397" s="8" t="n"/>
      <c r="U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7">
        <f>IF(OR(F398="",G398=""),"",(G398-F398)*1440)</f>
        <v/>
      </c>
      <c r="I398" s="8" t="n"/>
      <c r="J398" s="8" t="n"/>
      <c r="K398" s="8" t="n"/>
      <c r="L398" s="8" t="n"/>
      <c r="M398" s="8" t="n"/>
      <c r="O398" s="8" t="n"/>
      <c r="P398" s="8" t="n"/>
      <c r="Q398" s="8" t="n"/>
      <c r="R398" s="8" t="n"/>
      <c r="S398" s="8" t="n"/>
      <c r="T398" s="8" t="n"/>
      <c r="U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7">
        <f>IF(OR(F399="",G399=""),"",(G399-F399)*1440)</f>
        <v/>
      </c>
      <c r="I399" s="8" t="n"/>
      <c r="J399" s="8" t="n"/>
      <c r="K399" s="8" t="n"/>
      <c r="L399" s="8" t="n"/>
      <c r="M399" s="8" t="n"/>
      <c r="O399" s="8" t="n"/>
      <c r="P399" s="8" t="n"/>
      <c r="Q399" s="8" t="n"/>
      <c r="R399" s="8" t="n"/>
      <c r="S399" s="8" t="n"/>
      <c r="T399" s="8" t="n"/>
      <c r="U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7">
        <f>IF(OR(F400="",G400=""),"",(G400-F400)*1440)</f>
        <v/>
      </c>
      <c r="I400" s="8" t="n"/>
      <c r="J400" s="8" t="n"/>
      <c r="K400" s="8" t="n"/>
      <c r="L400" s="8" t="n"/>
      <c r="M400" s="8" t="n"/>
      <c r="O400" s="8" t="n"/>
      <c r="P400" s="8" t="n"/>
      <c r="Q400" s="8" t="n"/>
      <c r="R400" s="8" t="n"/>
      <c r="S400" s="8" t="n"/>
      <c r="T400" s="8" t="n"/>
      <c r="U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7">
        <f>IF(OR(F401="",G401=""),"",(G401-F401)*1440)</f>
        <v/>
      </c>
      <c r="I401" s="8" t="n"/>
      <c r="J401" s="8" t="n"/>
      <c r="K401" s="8" t="n"/>
      <c r="L401" s="8" t="n"/>
      <c r="M401" s="8" t="n"/>
      <c r="O401" s="8" t="n"/>
      <c r="P401" s="8" t="n"/>
      <c r="Q401" s="8" t="n"/>
      <c r="R401" s="8" t="n"/>
      <c r="S401" s="8" t="n"/>
      <c r="T401" s="8" t="n"/>
      <c r="U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7">
        <f>IF(OR(F402="",G402=""),"",(G402-F402)*1440)</f>
        <v/>
      </c>
      <c r="I402" s="8" t="n"/>
      <c r="J402" s="8" t="n"/>
      <c r="K402" s="8" t="n"/>
      <c r="L402" s="8" t="n"/>
      <c r="M402" s="8" t="n"/>
      <c r="O402" s="8" t="n"/>
      <c r="P402" s="8" t="n"/>
      <c r="Q402" s="8" t="n"/>
      <c r="R402" s="8" t="n"/>
      <c r="S402" s="8" t="n"/>
      <c r="T402" s="8" t="n"/>
      <c r="U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7">
        <f>IF(OR(F403="",G403=""),"",(G403-F403)*1440)</f>
        <v/>
      </c>
      <c r="I403" s="8" t="n"/>
      <c r="J403" s="8" t="n"/>
      <c r="K403" s="8" t="n"/>
      <c r="L403" s="8" t="n"/>
      <c r="M403" s="8" t="n"/>
      <c r="O403" s="8" t="n"/>
      <c r="P403" s="8" t="n"/>
      <c r="Q403" s="8" t="n"/>
      <c r="R403" s="8" t="n"/>
      <c r="S403" s="8" t="n"/>
      <c r="T403" s="8" t="n"/>
      <c r="U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7">
        <f>IF(OR(F404="",G404=""),"",(G404-F404)*1440)</f>
        <v/>
      </c>
      <c r="I404" s="8" t="n"/>
      <c r="J404" s="8" t="n"/>
      <c r="K404" s="8" t="n"/>
      <c r="L404" s="8" t="n"/>
      <c r="M404" s="8" t="n"/>
      <c r="O404" s="8" t="n"/>
      <c r="P404" s="8" t="n"/>
      <c r="Q404" s="8" t="n"/>
      <c r="R404" s="8" t="n"/>
      <c r="S404" s="8" t="n"/>
      <c r="T404" s="8" t="n"/>
      <c r="U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7">
        <f>IF(OR(F405="",G405=""),"",(G405-F405)*1440)</f>
        <v/>
      </c>
      <c r="I405" s="8" t="n"/>
      <c r="J405" s="8" t="n"/>
      <c r="K405" s="8" t="n"/>
      <c r="L405" s="8" t="n"/>
      <c r="M405" s="8" t="n"/>
      <c r="O405" s="8" t="n"/>
      <c r="P405" s="8" t="n"/>
      <c r="Q405" s="8" t="n"/>
      <c r="R405" s="8" t="n"/>
      <c r="S405" s="8" t="n"/>
      <c r="T405" s="8" t="n"/>
      <c r="U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7">
        <f>IF(OR(F406="",G406=""),"",(G406-F406)*1440)</f>
        <v/>
      </c>
      <c r="I406" s="8" t="n"/>
      <c r="J406" s="8" t="n"/>
      <c r="K406" s="8" t="n"/>
      <c r="L406" s="8" t="n"/>
      <c r="M406" s="8" t="n"/>
      <c r="O406" s="8" t="n"/>
      <c r="P406" s="8" t="n"/>
      <c r="Q406" s="8" t="n"/>
      <c r="R406" s="8" t="n"/>
      <c r="S406" s="8" t="n"/>
      <c r="T406" s="8" t="n"/>
      <c r="U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7">
        <f>IF(OR(F407="",G407=""),"",(G407-F407)*1440)</f>
        <v/>
      </c>
      <c r="I407" s="8" t="n"/>
      <c r="J407" s="8" t="n"/>
      <c r="K407" s="8" t="n"/>
      <c r="L407" s="8" t="n"/>
      <c r="M407" s="8" t="n"/>
      <c r="O407" s="8" t="n"/>
      <c r="P407" s="8" t="n"/>
      <c r="Q407" s="8" t="n"/>
      <c r="R407" s="8" t="n"/>
      <c r="S407" s="8" t="n"/>
      <c r="T407" s="8" t="n"/>
      <c r="U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7">
        <f>IF(OR(F408="",G408=""),"",(G408-F408)*1440)</f>
        <v/>
      </c>
      <c r="I408" s="8" t="n"/>
      <c r="J408" s="8" t="n"/>
      <c r="K408" s="8" t="n"/>
      <c r="L408" s="8" t="n"/>
      <c r="M408" s="8" t="n"/>
      <c r="O408" s="8" t="n"/>
      <c r="P408" s="8" t="n"/>
      <c r="Q408" s="8" t="n"/>
      <c r="R408" s="8" t="n"/>
      <c r="S408" s="8" t="n"/>
      <c r="T408" s="8" t="n"/>
      <c r="U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7">
        <f>IF(OR(F409="",G409=""),"",(G409-F409)*1440)</f>
        <v/>
      </c>
      <c r="I409" s="8" t="n"/>
      <c r="J409" s="8" t="n"/>
      <c r="K409" s="8" t="n"/>
      <c r="L409" s="8" t="n"/>
      <c r="M409" s="8" t="n"/>
      <c r="O409" s="8" t="n"/>
      <c r="P409" s="8" t="n"/>
      <c r="Q409" s="8" t="n"/>
      <c r="R409" s="8" t="n"/>
      <c r="S409" s="8" t="n"/>
      <c r="T409" s="8" t="n"/>
      <c r="U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7">
        <f>IF(OR(F410="",G410=""),"",(G410-F410)*1440)</f>
        <v/>
      </c>
      <c r="I410" s="8" t="n"/>
      <c r="J410" s="8" t="n"/>
      <c r="K410" s="8" t="n"/>
      <c r="L410" s="8" t="n"/>
      <c r="M410" s="8" t="n"/>
      <c r="O410" s="8" t="n"/>
      <c r="P410" s="8" t="n"/>
      <c r="Q410" s="8" t="n"/>
      <c r="R410" s="8" t="n"/>
      <c r="S410" s="8" t="n"/>
      <c r="T410" s="8" t="n"/>
      <c r="U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7">
        <f>IF(OR(F411="",G411=""),"",(G411-F411)*1440)</f>
        <v/>
      </c>
      <c r="I411" s="8" t="n"/>
      <c r="J411" s="8" t="n"/>
      <c r="K411" s="8" t="n"/>
      <c r="L411" s="8" t="n"/>
      <c r="M411" s="8" t="n"/>
      <c r="O411" s="8" t="n"/>
      <c r="P411" s="8" t="n"/>
      <c r="Q411" s="8" t="n"/>
      <c r="R411" s="8" t="n"/>
      <c r="S411" s="8" t="n"/>
      <c r="T411" s="8" t="n"/>
      <c r="U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7">
        <f>IF(OR(F412="",G412=""),"",(G412-F412)*1440)</f>
        <v/>
      </c>
      <c r="I412" s="8" t="n"/>
      <c r="J412" s="8" t="n"/>
      <c r="K412" s="8" t="n"/>
      <c r="L412" s="8" t="n"/>
      <c r="M412" s="8" t="n"/>
      <c r="O412" s="8" t="n"/>
      <c r="P412" s="8" t="n"/>
      <c r="Q412" s="8" t="n"/>
      <c r="R412" s="8" t="n"/>
      <c r="S412" s="8" t="n"/>
      <c r="T412" s="8" t="n"/>
      <c r="U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7">
        <f>IF(OR(F413="",G413=""),"",(G413-F413)*1440)</f>
        <v/>
      </c>
      <c r="I413" s="8" t="n"/>
      <c r="J413" s="8" t="n"/>
      <c r="K413" s="8" t="n"/>
      <c r="L413" s="8" t="n"/>
      <c r="M413" s="8" t="n"/>
      <c r="O413" s="8" t="n"/>
      <c r="P413" s="8" t="n"/>
      <c r="Q413" s="8" t="n"/>
      <c r="R413" s="8" t="n"/>
      <c r="S413" s="8" t="n"/>
      <c r="T413" s="8" t="n"/>
      <c r="U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7">
        <f>IF(OR(F414="",G414=""),"",(G414-F414)*1440)</f>
        <v/>
      </c>
      <c r="I414" s="8" t="n"/>
      <c r="J414" s="8" t="n"/>
      <c r="K414" s="8" t="n"/>
      <c r="L414" s="8" t="n"/>
      <c r="M414" s="8" t="n"/>
      <c r="O414" s="8" t="n"/>
      <c r="P414" s="8" t="n"/>
      <c r="Q414" s="8" t="n"/>
      <c r="R414" s="8" t="n"/>
      <c r="S414" s="8" t="n"/>
      <c r="T414" s="8" t="n"/>
      <c r="U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7">
        <f>IF(OR(F415="",G415=""),"",(G415-F415)*1440)</f>
        <v/>
      </c>
      <c r="I415" s="8" t="n"/>
      <c r="J415" s="8" t="n"/>
      <c r="K415" s="8" t="n"/>
      <c r="L415" s="8" t="n"/>
      <c r="M415" s="8" t="n"/>
      <c r="O415" s="8" t="n"/>
      <c r="P415" s="8" t="n"/>
      <c r="Q415" s="8" t="n"/>
      <c r="R415" s="8" t="n"/>
      <c r="S415" s="8" t="n"/>
      <c r="T415" s="8" t="n"/>
      <c r="U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7">
        <f>IF(OR(F416="",G416=""),"",(G416-F416)*1440)</f>
        <v/>
      </c>
      <c r="I416" s="8" t="n"/>
      <c r="J416" s="8" t="n"/>
      <c r="K416" s="8" t="n"/>
      <c r="L416" s="8" t="n"/>
      <c r="M416" s="8" t="n"/>
      <c r="O416" s="8" t="n"/>
      <c r="P416" s="8" t="n"/>
      <c r="Q416" s="8" t="n"/>
      <c r="R416" s="8" t="n"/>
      <c r="S416" s="8" t="n"/>
      <c r="T416" s="8" t="n"/>
      <c r="U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7">
        <f>IF(OR(F417="",G417=""),"",(G417-F417)*1440)</f>
        <v/>
      </c>
      <c r="I417" s="8" t="n"/>
      <c r="J417" s="8" t="n"/>
      <c r="K417" s="8" t="n"/>
      <c r="L417" s="8" t="n"/>
      <c r="M417" s="8" t="n"/>
      <c r="O417" s="8" t="n"/>
      <c r="P417" s="8" t="n"/>
      <c r="Q417" s="8" t="n"/>
      <c r="R417" s="8" t="n"/>
      <c r="S417" s="8" t="n"/>
      <c r="T417" s="8" t="n"/>
      <c r="U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7">
        <f>IF(OR(F418="",G418=""),"",(G418-F418)*1440)</f>
        <v/>
      </c>
      <c r="I418" s="8" t="n"/>
      <c r="J418" s="8" t="n"/>
      <c r="K418" s="8" t="n"/>
      <c r="L418" s="8" t="n"/>
      <c r="M418" s="8" t="n"/>
      <c r="O418" s="8" t="n"/>
      <c r="P418" s="8" t="n"/>
      <c r="Q418" s="8" t="n"/>
      <c r="R418" s="8" t="n"/>
      <c r="S418" s="8" t="n"/>
      <c r="T418" s="8" t="n"/>
      <c r="U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7">
        <f>IF(OR(F419="",G419=""),"",(G419-F419)*1440)</f>
        <v/>
      </c>
      <c r="I419" s="8" t="n"/>
      <c r="J419" s="8" t="n"/>
      <c r="K419" s="8" t="n"/>
      <c r="L419" s="8" t="n"/>
      <c r="M419" s="8" t="n"/>
      <c r="O419" s="8" t="n"/>
      <c r="P419" s="8" t="n"/>
      <c r="Q419" s="8" t="n"/>
      <c r="R419" s="8" t="n"/>
      <c r="S419" s="8" t="n"/>
      <c r="T419" s="8" t="n"/>
      <c r="U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7">
        <f>IF(OR(F420="",G420=""),"",(G420-F420)*1440)</f>
        <v/>
      </c>
      <c r="I420" s="8" t="n"/>
      <c r="J420" s="8" t="n"/>
      <c r="K420" s="8" t="n"/>
      <c r="L420" s="8" t="n"/>
      <c r="M420" s="8" t="n"/>
      <c r="O420" s="8" t="n"/>
      <c r="P420" s="8" t="n"/>
      <c r="Q420" s="8" t="n"/>
      <c r="R420" s="8" t="n"/>
      <c r="S420" s="8" t="n"/>
      <c r="T420" s="8" t="n"/>
      <c r="U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7">
        <f>IF(OR(F421="",G421=""),"",(G421-F421)*1440)</f>
        <v/>
      </c>
      <c r="I421" s="8" t="n"/>
      <c r="J421" s="8" t="n"/>
      <c r="K421" s="8" t="n"/>
      <c r="L421" s="8" t="n"/>
      <c r="M421" s="8" t="n"/>
      <c r="O421" s="8" t="n"/>
      <c r="P421" s="8" t="n"/>
      <c r="Q421" s="8" t="n"/>
      <c r="R421" s="8" t="n"/>
      <c r="S421" s="8" t="n"/>
      <c r="T421" s="8" t="n"/>
      <c r="U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7">
        <f>IF(OR(F422="",G422=""),"",(G422-F422)*1440)</f>
        <v/>
      </c>
      <c r="I422" s="8" t="n"/>
      <c r="J422" s="8" t="n"/>
      <c r="K422" s="8" t="n"/>
      <c r="L422" s="8" t="n"/>
      <c r="M422" s="8" t="n"/>
      <c r="O422" s="8" t="n"/>
      <c r="P422" s="8" t="n"/>
      <c r="Q422" s="8" t="n"/>
      <c r="R422" s="8" t="n"/>
      <c r="S422" s="8" t="n"/>
      <c r="T422" s="8" t="n"/>
      <c r="U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7">
        <f>IF(OR(F423="",G423=""),"",(G423-F423)*1440)</f>
        <v/>
      </c>
      <c r="I423" s="8" t="n"/>
      <c r="J423" s="8" t="n"/>
      <c r="K423" s="8" t="n"/>
      <c r="L423" s="8" t="n"/>
      <c r="M423" s="8" t="n"/>
      <c r="O423" s="8" t="n"/>
      <c r="P423" s="8" t="n"/>
      <c r="Q423" s="8" t="n"/>
      <c r="R423" s="8" t="n"/>
      <c r="S423" s="8" t="n"/>
      <c r="T423" s="8" t="n"/>
      <c r="U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7">
        <f>IF(OR(F424="",G424=""),"",(G424-F424)*1440)</f>
        <v/>
      </c>
      <c r="I424" s="8" t="n"/>
      <c r="J424" s="8" t="n"/>
      <c r="K424" s="8" t="n"/>
      <c r="L424" s="8" t="n"/>
      <c r="M424" s="8" t="n"/>
      <c r="O424" s="8" t="n"/>
      <c r="P424" s="8" t="n"/>
      <c r="Q424" s="8" t="n"/>
      <c r="R424" s="8" t="n"/>
      <c r="S424" s="8" t="n"/>
      <c r="T424" s="8" t="n"/>
      <c r="U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7">
        <f>IF(OR(F425="",G425=""),"",(G425-F425)*1440)</f>
        <v/>
      </c>
      <c r="I425" s="8" t="n"/>
      <c r="J425" s="8" t="n"/>
      <c r="K425" s="8" t="n"/>
      <c r="L425" s="8" t="n"/>
      <c r="M425" s="8" t="n"/>
      <c r="O425" s="8" t="n"/>
      <c r="P425" s="8" t="n"/>
      <c r="Q425" s="8" t="n"/>
      <c r="R425" s="8" t="n"/>
      <c r="S425" s="8" t="n"/>
      <c r="T425" s="8" t="n"/>
      <c r="U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7">
        <f>IF(OR(F426="",G426=""),"",(G426-F426)*1440)</f>
        <v/>
      </c>
      <c r="I426" s="8" t="n"/>
      <c r="J426" s="8" t="n"/>
      <c r="K426" s="8" t="n"/>
      <c r="L426" s="8" t="n"/>
      <c r="M426" s="8" t="n"/>
      <c r="O426" s="8" t="n"/>
      <c r="P426" s="8" t="n"/>
      <c r="Q426" s="8" t="n"/>
      <c r="R426" s="8" t="n"/>
      <c r="S426" s="8" t="n"/>
      <c r="T426" s="8" t="n"/>
      <c r="U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7">
        <f>IF(OR(F427="",G427=""),"",(G427-F427)*1440)</f>
        <v/>
      </c>
      <c r="I427" s="8" t="n"/>
      <c r="J427" s="8" t="n"/>
      <c r="K427" s="8" t="n"/>
      <c r="L427" s="8" t="n"/>
      <c r="M427" s="8" t="n"/>
      <c r="O427" s="8" t="n"/>
      <c r="P427" s="8" t="n"/>
      <c r="Q427" s="8" t="n"/>
      <c r="R427" s="8" t="n"/>
      <c r="S427" s="8" t="n"/>
      <c r="T427" s="8" t="n"/>
      <c r="U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7">
        <f>IF(OR(F428="",G428=""),"",(G428-F428)*1440)</f>
        <v/>
      </c>
      <c r="I428" s="8" t="n"/>
      <c r="J428" s="8" t="n"/>
      <c r="K428" s="8" t="n"/>
      <c r="L428" s="8" t="n"/>
      <c r="M428" s="8" t="n"/>
      <c r="O428" s="8" t="n"/>
      <c r="P428" s="8" t="n"/>
      <c r="Q428" s="8" t="n"/>
      <c r="R428" s="8" t="n"/>
      <c r="S428" s="8" t="n"/>
      <c r="T428" s="8" t="n"/>
      <c r="U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7">
        <f>IF(OR(F429="",G429=""),"",(G429-F429)*1440)</f>
        <v/>
      </c>
      <c r="I429" s="8" t="n"/>
      <c r="J429" s="8" t="n"/>
      <c r="K429" s="8" t="n"/>
      <c r="L429" s="8" t="n"/>
      <c r="M429" s="8" t="n"/>
      <c r="O429" s="8" t="n"/>
      <c r="P429" s="8" t="n"/>
      <c r="Q429" s="8" t="n"/>
      <c r="R429" s="8" t="n"/>
      <c r="S429" s="8" t="n"/>
      <c r="T429" s="8" t="n"/>
      <c r="U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7">
        <f>IF(OR(F430="",G430=""),"",(G430-F430)*1440)</f>
        <v/>
      </c>
      <c r="I430" s="8" t="n"/>
      <c r="J430" s="8" t="n"/>
      <c r="K430" s="8" t="n"/>
      <c r="L430" s="8" t="n"/>
      <c r="M430" s="8" t="n"/>
      <c r="O430" s="8" t="n"/>
      <c r="P430" s="8" t="n"/>
      <c r="Q430" s="8" t="n"/>
      <c r="R430" s="8" t="n"/>
      <c r="S430" s="8" t="n"/>
      <c r="T430" s="8" t="n"/>
      <c r="U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7">
        <f>IF(OR(F431="",G431=""),"",(G431-F431)*1440)</f>
        <v/>
      </c>
      <c r="I431" s="8" t="n"/>
      <c r="J431" s="8" t="n"/>
      <c r="K431" s="8" t="n"/>
      <c r="L431" s="8" t="n"/>
      <c r="M431" s="8" t="n"/>
      <c r="O431" s="8" t="n"/>
      <c r="P431" s="8" t="n"/>
      <c r="Q431" s="8" t="n"/>
      <c r="R431" s="8" t="n"/>
      <c r="S431" s="8" t="n"/>
      <c r="T431" s="8" t="n"/>
      <c r="U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7">
        <f>IF(OR(F432="",G432=""),"",(G432-F432)*1440)</f>
        <v/>
      </c>
      <c r="I432" s="8" t="n"/>
      <c r="J432" s="8" t="n"/>
      <c r="K432" s="8" t="n"/>
      <c r="L432" s="8" t="n"/>
      <c r="M432" s="8" t="n"/>
      <c r="O432" s="8" t="n"/>
      <c r="P432" s="8" t="n"/>
      <c r="Q432" s="8" t="n"/>
      <c r="R432" s="8" t="n"/>
      <c r="S432" s="8" t="n"/>
      <c r="T432" s="8" t="n"/>
      <c r="U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7">
        <f>IF(OR(F433="",G433=""),"",(G433-F433)*1440)</f>
        <v/>
      </c>
      <c r="I433" s="8" t="n"/>
      <c r="J433" s="8" t="n"/>
      <c r="K433" s="8" t="n"/>
      <c r="L433" s="8" t="n"/>
      <c r="M433" s="8" t="n"/>
      <c r="O433" s="8" t="n"/>
      <c r="P433" s="8" t="n"/>
      <c r="Q433" s="8" t="n"/>
      <c r="R433" s="8" t="n"/>
      <c r="S433" s="8" t="n"/>
      <c r="T433" s="8" t="n"/>
      <c r="U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7">
        <f>IF(OR(F434="",G434=""),"",(G434-F434)*1440)</f>
        <v/>
      </c>
      <c r="I434" s="8" t="n"/>
      <c r="J434" s="8" t="n"/>
      <c r="K434" s="8" t="n"/>
      <c r="L434" s="8" t="n"/>
      <c r="M434" s="8" t="n"/>
      <c r="O434" s="8" t="n"/>
      <c r="P434" s="8" t="n"/>
      <c r="Q434" s="8" t="n"/>
      <c r="R434" s="8" t="n"/>
      <c r="S434" s="8" t="n"/>
      <c r="T434" s="8" t="n"/>
      <c r="U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7">
        <f>IF(OR(F435="",G435=""),"",(G435-F435)*1440)</f>
        <v/>
      </c>
      <c r="I435" s="8" t="n"/>
      <c r="J435" s="8" t="n"/>
      <c r="K435" s="8" t="n"/>
      <c r="L435" s="8" t="n"/>
      <c r="M435" s="8" t="n"/>
      <c r="O435" s="8" t="n"/>
      <c r="P435" s="8" t="n"/>
      <c r="Q435" s="8" t="n"/>
      <c r="R435" s="8" t="n"/>
      <c r="S435" s="8" t="n"/>
      <c r="T435" s="8" t="n"/>
      <c r="U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7">
        <f>IF(OR(F436="",G436=""),"",(G436-F436)*1440)</f>
        <v/>
      </c>
      <c r="I436" s="8" t="n"/>
      <c r="J436" s="8" t="n"/>
      <c r="K436" s="8" t="n"/>
      <c r="L436" s="8" t="n"/>
      <c r="M436" s="8" t="n"/>
      <c r="O436" s="8" t="n"/>
      <c r="P436" s="8" t="n"/>
      <c r="Q436" s="8" t="n"/>
      <c r="R436" s="8" t="n"/>
      <c r="S436" s="8" t="n"/>
      <c r="T436" s="8" t="n"/>
      <c r="U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7">
        <f>IF(OR(F437="",G437=""),"",(G437-F437)*1440)</f>
        <v/>
      </c>
      <c r="I437" s="8" t="n"/>
      <c r="J437" s="8" t="n"/>
      <c r="K437" s="8" t="n"/>
      <c r="L437" s="8" t="n"/>
      <c r="M437" s="8" t="n"/>
      <c r="O437" s="8" t="n"/>
      <c r="P437" s="8" t="n"/>
      <c r="Q437" s="8" t="n"/>
      <c r="R437" s="8" t="n"/>
      <c r="S437" s="8" t="n"/>
      <c r="T437" s="8" t="n"/>
      <c r="U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7">
        <f>IF(OR(F438="",G438=""),"",(G438-F438)*1440)</f>
        <v/>
      </c>
      <c r="I438" s="8" t="n"/>
      <c r="J438" s="8" t="n"/>
      <c r="K438" s="8" t="n"/>
      <c r="L438" s="8" t="n"/>
      <c r="M438" s="8" t="n"/>
      <c r="O438" s="8" t="n"/>
      <c r="P438" s="8" t="n"/>
      <c r="Q438" s="8" t="n"/>
      <c r="R438" s="8" t="n"/>
      <c r="S438" s="8" t="n"/>
      <c r="T438" s="8" t="n"/>
      <c r="U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7">
        <f>IF(OR(F439="",G439=""),"",(G439-F439)*1440)</f>
        <v/>
      </c>
      <c r="I439" s="8" t="n"/>
      <c r="J439" s="8" t="n"/>
      <c r="K439" s="8" t="n"/>
      <c r="L439" s="8" t="n"/>
      <c r="M439" s="8" t="n"/>
      <c r="O439" s="8" t="n"/>
      <c r="P439" s="8" t="n"/>
      <c r="Q439" s="8" t="n"/>
      <c r="R439" s="8" t="n"/>
      <c r="S439" s="8" t="n"/>
      <c r="T439" s="8" t="n"/>
      <c r="U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7">
        <f>IF(OR(F440="",G440=""),"",(G440-F440)*1440)</f>
        <v/>
      </c>
      <c r="I440" s="8" t="n"/>
      <c r="J440" s="8" t="n"/>
      <c r="K440" s="8" t="n"/>
      <c r="L440" s="8" t="n"/>
      <c r="M440" s="8" t="n"/>
      <c r="O440" s="8" t="n"/>
      <c r="P440" s="8" t="n"/>
      <c r="Q440" s="8" t="n"/>
      <c r="R440" s="8" t="n"/>
      <c r="S440" s="8" t="n"/>
      <c r="T440" s="8" t="n"/>
      <c r="U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7">
        <f>IF(OR(F441="",G441=""),"",(G441-F441)*1440)</f>
        <v/>
      </c>
      <c r="I441" s="8" t="n"/>
      <c r="J441" s="8" t="n"/>
      <c r="K441" s="8" t="n"/>
      <c r="L441" s="8" t="n"/>
      <c r="M441" s="8" t="n"/>
      <c r="O441" s="8" t="n"/>
      <c r="P441" s="8" t="n"/>
      <c r="Q441" s="8" t="n"/>
      <c r="R441" s="8" t="n"/>
      <c r="S441" s="8" t="n"/>
      <c r="T441" s="8" t="n"/>
      <c r="U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7">
        <f>IF(OR(F442="",G442=""),"",(G442-F442)*1440)</f>
        <v/>
      </c>
      <c r="I442" s="8" t="n"/>
      <c r="J442" s="8" t="n"/>
      <c r="K442" s="8" t="n"/>
      <c r="L442" s="8" t="n"/>
      <c r="M442" s="8" t="n"/>
      <c r="O442" s="8" t="n"/>
      <c r="P442" s="8" t="n"/>
      <c r="Q442" s="8" t="n"/>
      <c r="R442" s="8" t="n"/>
      <c r="S442" s="8" t="n"/>
      <c r="T442" s="8" t="n"/>
      <c r="U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7">
        <f>IF(OR(F443="",G443=""),"",(G443-F443)*1440)</f>
        <v/>
      </c>
      <c r="I443" s="8" t="n"/>
      <c r="J443" s="8" t="n"/>
      <c r="K443" s="8" t="n"/>
      <c r="L443" s="8" t="n"/>
      <c r="M443" s="8" t="n"/>
      <c r="O443" s="8" t="n"/>
      <c r="P443" s="8" t="n"/>
      <c r="Q443" s="8" t="n"/>
      <c r="R443" s="8" t="n"/>
      <c r="S443" s="8" t="n"/>
      <c r="T443" s="8" t="n"/>
      <c r="U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7">
        <f>IF(OR(F444="",G444=""),"",(G444-F444)*1440)</f>
        <v/>
      </c>
      <c r="I444" s="8" t="n"/>
      <c r="J444" s="8" t="n"/>
      <c r="K444" s="8" t="n"/>
      <c r="L444" s="8" t="n"/>
      <c r="M444" s="8" t="n"/>
      <c r="O444" s="8" t="n"/>
      <c r="P444" s="8" t="n"/>
      <c r="Q444" s="8" t="n"/>
      <c r="R444" s="8" t="n"/>
      <c r="S444" s="8" t="n"/>
      <c r="T444" s="8" t="n"/>
      <c r="U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7">
        <f>IF(OR(F445="",G445=""),"",(G445-F445)*1440)</f>
        <v/>
      </c>
      <c r="I445" s="8" t="n"/>
      <c r="J445" s="8" t="n"/>
      <c r="K445" s="8" t="n"/>
      <c r="L445" s="8" t="n"/>
      <c r="M445" s="8" t="n"/>
      <c r="O445" s="8" t="n"/>
      <c r="P445" s="8" t="n"/>
      <c r="Q445" s="8" t="n"/>
      <c r="R445" s="8" t="n"/>
      <c r="S445" s="8" t="n"/>
      <c r="T445" s="8" t="n"/>
      <c r="U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7">
        <f>IF(OR(F446="",G446=""),"",(G446-F446)*1440)</f>
        <v/>
      </c>
      <c r="I446" s="8" t="n"/>
      <c r="J446" s="8" t="n"/>
      <c r="K446" s="8" t="n"/>
      <c r="L446" s="8" t="n"/>
      <c r="M446" s="8" t="n"/>
      <c r="O446" s="8" t="n"/>
      <c r="P446" s="8" t="n"/>
      <c r="Q446" s="8" t="n"/>
      <c r="R446" s="8" t="n"/>
      <c r="S446" s="8" t="n"/>
      <c r="T446" s="8" t="n"/>
      <c r="U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7">
        <f>IF(OR(F447="",G447=""),"",(G447-F447)*1440)</f>
        <v/>
      </c>
      <c r="I447" s="8" t="n"/>
      <c r="J447" s="8" t="n"/>
      <c r="K447" s="8" t="n"/>
      <c r="L447" s="8" t="n"/>
      <c r="M447" s="8" t="n"/>
      <c r="O447" s="8" t="n"/>
      <c r="P447" s="8" t="n"/>
      <c r="Q447" s="8" t="n"/>
      <c r="R447" s="8" t="n"/>
      <c r="S447" s="8" t="n"/>
      <c r="T447" s="8" t="n"/>
      <c r="U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7">
        <f>IF(OR(F448="",G448=""),"",(G448-F448)*1440)</f>
        <v/>
      </c>
      <c r="I448" s="8" t="n"/>
      <c r="J448" s="8" t="n"/>
      <c r="K448" s="8" t="n"/>
      <c r="L448" s="8" t="n"/>
      <c r="M448" s="8" t="n"/>
      <c r="O448" s="8" t="n"/>
      <c r="P448" s="8" t="n"/>
      <c r="Q448" s="8" t="n"/>
      <c r="R448" s="8" t="n"/>
      <c r="S448" s="8" t="n"/>
      <c r="T448" s="8" t="n"/>
      <c r="U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7">
        <f>IF(OR(F449="",G449=""),"",(G449-F449)*1440)</f>
        <v/>
      </c>
      <c r="I449" s="8" t="n"/>
      <c r="J449" s="8" t="n"/>
      <c r="K449" s="8" t="n"/>
      <c r="L449" s="8" t="n"/>
      <c r="M449" s="8" t="n"/>
      <c r="O449" s="8" t="n"/>
      <c r="P449" s="8" t="n"/>
      <c r="Q449" s="8" t="n"/>
      <c r="R449" s="8" t="n"/>
      <c r="S449" s="8" t="n"/>
      <c r="T449" s="8" t="n"/>
      <c r="U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7">
        <f>IF(OR(F450="",G450=""),"",(G450-F450)*1440)</f>
        <v/>
      </c>
      <c r="I450" s="8" t="n"/>
      <c r="J450" s="8" t="n"/>
      <c r="K450" s="8" t="n"/>
      <c r="L450" s="8" t="n"/>
      <c r="M450" s="8" t="n"/>
      <c r="O450" s="8" t="n"/>
      <c r="P450" s="8" t="n"/>
      <c r="Q450" s="8" t="n"/>
      <c r="R450" s="8" t="n"/>
      <c r="S450" s="8" t="n"/>
      <c r="T450" s="8" t="n"/>
      <c r="U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7">
        <f>IF(OR(F451="",G451=""),"",(G451-F451)*1440)</f>
        <v/>
      </c>
      <c r="I451" s="8" t="n"/>
      <c r="J451" s="8" t="n"/>
      <c r="K451" s="8" t="n"/>
      <c r="L451" s="8" t="n"/>
      <c r="M451" s="8" t="n"/>
      <c r="O451" s="8" t="n"/>
      <c r="P451" s="8" t="n"/>
      <c r="Q451" s="8" t="n"/>
      <c r="R451" s="8" t="n"/>
      <c r="S451" s="8" t="n"/>
      <c r="T451" s="8" t="n"/>
      <c r="U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7">
        <f>IF(OR(F452="",G452=""),"",(G452-F452)*1440)</f>
        <v/>
      </c>
      <c r="I452" s="8" t="n"/>
      <c r="J452" s="8" t="n"/>
      <c r="K452" s="8" t="n"/>
      <c r="L452" s="8" t="n"/>
      <c r="M452" s="8" t="n"/>
      <c r="O452" s="8" t="n"/>
      <c r="P452" s="8" t="n"/>
      <c r="Q452" s="8" t="n"/>
      <c r="R452" s="8" t="n"/>
      <c r="S452" s="8" t="n"/>
      <c r="T452" s="8" t="n"/>
      <c r="U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7">
        <f>IF(OR(F453="",G453=""),"",(G453-F453)*1440)</f>
        <v/>
      </c>
      <c r="I453" s="8" t="n"/>
      <c r="J453" s="8" t="n"/>
      <c r="K453" s="8" t="n"/>
      <c r="L453" s="8" t="n"/>
      <c r="M453" s="8" t="n"/>
      <c r="O453" s="8" t="n"/>
      <c r="P453" s="8" t="n"/>
      <c r="Q453" s="8" t="n"/>
      <c r="R453" s="8" t="n"/>
      <c r="S453" s="8" t="n"/>
      <c r="T453" s="8" t="n"/>
      <c r="U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7">
        <f>IF(OR(F454="",G454=""),"",(G454-F454)*1440)</f>
        <v/>
      </c>
      <c r="I454" s="8" t="n"/>
      <c r="J454" s="8" t="n"/>
      <c r="K454" s="8" t="n"/>
      <c r="L454" s="8" t="n"/>
      <c r="M454" s="8" t="n"/>
      <c r="O454" s="8" t="n"/>
      <c r="P454" s="8" t="n"/>
      <c r="Q454" s="8" t="n"/>
      <c r="R454" s="8" t="n"/>
      <c r="S454" s="8" t="n"/>
      <c r="T454" s="8" t="n"/>
      <c r="U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7">
        <f>IF(OR(F455="",G455=""),"",(G455-F455)*1440)</f>
        <v/>
      </c>
      <c r="I455" s="8" t="n"/>
      <c r="J455" s="8" t="n"/>
      <c r="K455" s="8" t="n"/>
      <c r="L455" s="8" t="n"/>
      <c r="M455" s="8" t="n"/>
      <c r="O455" s="8" t="n"/>
      <c r="P455" s="8" t="n"/>
      <c r="Q455" s="8" t="n"/>
      <c r="R455" s="8" t="n"/>
      <c r="S455" s="8" t="n"/>
      <c r="T455" s="8" t="n"/>
      <c r="U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7">
        <f>IF(OR(F456="",G456=""),"",(G456-F456)*1440)</f>
        <v/>
      </c>
      <c r="I456" s="8" t="n"/>
      <c r="J456" s="8" t="n"/>
      <c r="K456" s="8" t="n"/>
      <c r="L456" s="8" t="n"/>
      <c r="M456" s="8" t="n"/>
      <c r="O456" s="8" t="n"/>
      <c r="P456" s="8" t="n"/>
      <c r="Q456" s="8" t="n"/>
      <c r="R456" s="8" t="n"/>
      <c r="S456" s="8" t="n"/>
      <c r="T456" s="8" t="n"/>
      <c r="U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7">
        <f>IF(OR(F457="",G457=""),"",(G457-F457)*1440)</f>
        <v/>
      </c>
      <c r="I457" s="8" t="n"/>
      <c r="J457" s="8" t="n"/>
      <c r="K457" s="8" t="n"/>
      <c r="L457" s="8" t="n"/>
      <c r="M457" s="8" t="n"/>
      <c r="O457" s="8" t="n"/>
      <c r="P457" s="8" t="n"/>
      <c r="Q457" s="8" t="n"/>
      <c r="R457" s="8" t="n"/>
      <c r="S457" s="8" t="n"/>
      <c r="T457" s="8" t="n"/>
      <c r="U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7">
        <f>IF(OR(F458="",G458=""),"",(G458-F458)*1440)</f>
        <v/>
      </c>
      <c r="I458" s="8" t="n"/>
      <c r="J458" s="8" t="n"/>
      <c r="K458" s="8" t="n"/>
      <c r="L458" s="8" t="n"/>
      <c r="M458" s="8" t="n"/>
      <c r="O458" s="8" t="n"/>
      <c r="P458" s="8" t="n"/>
      <c r="Q458" s="8" t="n"/>
      <c r="R458" s="8" t="n"/>
      <c r="S458" s="8" t="n"/>
      <c r="T458" s="8" t="n"/>
      <c r="U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7">
        <f>IF(OR(F459="",G459=""),"",(G459-F459)*1440)</f>
        <v/>
      </c>
      <c r="I459" s="8" t="n"/>
      <c r="J459" s="8" t="n"/>
      <c r="K459" s="8" t="n"/>
      <c r="L459" s="8" t="n"/>
      <c r="M459" s="8" t="n"/>
      <c r="O459" s="8" t="n"/>
      <c r="P459" s="8" t="n"/>
      <c r="Q459" s="8" t="n"/>
      <c r="R459" s="8" t="n"/>
      <c r="S459" s="8" t="n"/>
      <c r="T459" s="8" t="n"/>
      <c r="U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7">
        <f>IF(OR(F460="",G460=""),"",(G460-F460)*1440)</f>
        <v/>
      </c>
      <c r="I460" s="8" t="n"/>
      <c r="J460" s="8" t="n"/>
      <c r="K460" s="8" t="n"/>
      <c r="L460" s="8" t="n"/>
      <c r="M460" s="8" t="n"/>
      <c r="O460" s="8" t="n"/>
      <c r="P460" s="8" t="n"/>
      <c r="Q460" s="8" t="n"/>
      <c r="R460" s="8" t="n"/>
      <c r="S460" s="8" t="n"/>
      <c r="T460" s="8" t="n"/>
      <c r="U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7">
        <f>IF(OR(F461="",G461=""),"",(G461-F461)*1440)</f>
        <v/>
      </c>
      <c r="I461" s="8" t="n"/>
      <c r="J461" s="8" t="n"/>
      <c r="K461" s="8" t="n"/>
      <c r="L461" s="8" t="n"/>
      <c r="M461" s="8" t="n"/>
      <c r="O461" s="8" t="n"/>
      <c r="P461" s="8" t="n"/>
      <c r="Q461" s="8" t="n"/>
      <c r="R461" s="8" t="n"/>
      <c r="S461" s="8" t="n"/>
      <c r="T461" s="8" t="n"/>
      <c r="U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7">
        <f>IF(OR(F462="",G462=""),"",(G462-F462)*1440)</f>
        <v/>
      </c>
      <c r="I462" s="8" t="n"/>
      <c r="J462" s="8" t="n"/>
      <c r="K462" s="8" t="n"/>
      <c r="L462" s="8" t="n"/>
      <c r="M462" s="8" t="n"/>
      <c r="O462" s="8" t="n"/>
      <c r="P462" s="8" t="n"/>
      <c r="Q462" s="8" t="n"/>
      <c r="R462" s="8" t="n"/>
      <c r="S462" s="8" t="n"/>
      <c r="T462" s="8" t="n"/>
      <c r="U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7">
        <f>IF(OR(F463="",G463=""),"",(G463-F463)*1440)</f>
        <v/>
      </c>
      <c r="I463" s="8" t="n"/>
      <c r="J463" s="8" t="n"/>
      <c r="K463" s="8" t="n"/>
      <c r="L463" s="8" t="n"/>
      <c r="M463" s="8" t="n"/>
      <c r="O463" s="8" t="n"/>
      <c r="P463" s="8" t="n"/>
      <c r="Q463" s="8" t="n"/>
      <c r="R463" s="8" t="n"/>
      <c r="S463" s="8" t="n"/>
      <c r="T463" s="8" t="n"/>
      <c r="U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7">
        <f>IF(OR(F464="",G464=""),"",(G464-F464)*1440)</f>
        <v/>
      </c>
      <c r="I464" s="8" t="n"/>
      <c r="J464" s="8" t="n"/>
      <c r="K464" s="8" t="n"/>
      <c r="L464" s="8" t="n"/>
      <c r="M464" s="8" t="n"/>
      <c r="O464" s="8" t="n"/>
      <c r="P464" s="8" t="n"/>
      <c r="Q464" s="8" t="n"/>
      <c r="R464" s="8" t="n"/>
      <c r="S464" s="8" t="n"/>
      <c r="T464" s="8" t="n"/>
      <c r="U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7">
        <f>IF(OR(F465="",G465=""),"",(G465-F465)*1440)</f>
        <v/>
      </c>
      <c r="I465" s="8" t="n"/>
      <c r="J465" s="8" t="n"/>
      <c r="K465" s="8" t="n"/>
      <c r="L465" s="8" t="n"/>
      <c r="M465" s="8" t="n"/>
      <c r="O465" s="8" t="n"/>
      <c r="P465" s="8" t="n"/>
      <c r="Q465" s="8" t="n"/>
      <c r="R465" s="8" t="n"/>
      <c r="S465" s="8" t="n"/>
      <c r="T465" s="8" t="n"/>
      <c r="U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7">
        <f>IF(OR(F466="",G466=""),"",(G466-F466)*1440)</f>
        <v/>
      </c>
      <c r="I466" s="8" t="n"/>
      <c r="J466" s="8" t="n"/>
      <c r="K466" s="8" t="n"/>
      <c r="L466" s="8" t="n"/>
      <c r="M466" s="8" t="n"/>
      <c r="O466" s="8" t="n"/>
      <c r="P466" s="8" t="n"/>
      <c r="Q466" s="8" t="n"/>
      <c r="R466" s="8" t="n"/>
      <c r="S466" s="8" t="n"/>
      <c r="T466" s="8" t="n"/>
      <c r="U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7">
        <f>IF(OR(F467="",G467=""),"",(G467-F467)*1440)</f>
        <v/>
      </c>
      <c r="I467" s="8" t="n"/>
      <c r="J467" s="8" t="n"/>
      <c r="K467" s="8" t="n"/>
      <c r="L467" s="8" t="n"/>
      <c r="M467" s="8" t="n"/>
      <c r="O467" s="8" t="n"/>
      <c r="P467" s="8" t="n"/>
      <c r="Q467" s="8" t="n"/>
      <c r="R467" s="8" t="n"/>
      <c r="S467" s="8" t="n"/>
      <c r="T467" s="8" t="n"/>
      <c r="U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7">
        <f>IF(OR(F468="",G468=""),"",(G468-F468)*1440)</f>
        <v/>
      </c>
      <c r="I468" s="8" t="n"/>
      <c r="J468" s="8" t="n"/>
      <c r="K468" s="8" t="n"/>
      <c r="L468" s="8" t="n"/>
      <c r="M468" s="8" t="n"/>
      <c r="O468" s="8" t="n"/>
      <c r="P468" s="8" t="n"/>
      <c r="Q468" s="8" t="n"/>
      <c r="R468" s="8" t="n"/>
      <c r="S468" s="8" t="n"/>
      <c r="T468" s="8" t="n"/>
      <c r="U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7">
        <f>IF(OR(F469="",G469=""),"",(G469-F469)*1440)</f>
        <v/>
      </c>
      <c r="I469" s="8" t="n"/>
      <c r="J469" s="8" t="n"/>
      <c r="K469" s="8" t="n"/>
      <c r="L469" s="8" t="n"/>
      <c r="M469" s="8" t="n"/>
      <c r="O469" s="8" t="n"/>
      <c r="P469" s="8" t="n"/>
      <c r="Q469" s="8" t="n"/>
      <c r="R469" s="8" t="n"/>
      <c r="S469" s="8" t="n"/>
      <c r="T469" s="8" t="n"/>
      <c r="U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7">
        <f>IF(OR(F470="",G470=""),"",(G470-F470)*1440)</f>
        <v/>
      </c>
      <c r="I470" s="8" t="n"/>
      <c r="J470" s="8" t="n"/>
      <c r="K470" s="8" t="n"/>
      <c r="L470" s="8" t="n"/>
      <c r="M470" s="8" t="n"/>
      <c r="O470" s="8" t="n"/>
      <c r="P470" s="8" t="n"/>
      <c r="Q470" s="8" t="n"/>
      <c r="R470" s="8" t="n"/>
      <c r="S470" s="8" t="n"/>
      <c r="T470" s="8" t="n"/>
      <c r="U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7">
        <f>IF(OR(F471="",G471=""),"",(G471-F471)*1440)</f>
        <v/>
      </c>
      <c r="I471" s="8" t="n"/>
      <c r="J471" s="8" t="n"/>
      <c r="K471" s="8" t="n"/>
      <c r="L471" s="8" t="n"/>
      <c r="M471" s="8" t="n"/>
      <c r="O471" s="8" t="n"/>
      <c r="P471" s="8" t="n"/>
      <c r="Q471" s="8" t="n"/>
      <c r="R471" s="8" t="n"/>
      <c r="S471" s="8" t="n"/>
      <c r="T471" s="8" t="n"/>
      <c r="U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7">
        <f>IF(OR(F472="",G472=""),"",(G472-F472)*1440)</f>
        <v/>
      </c>
      <c r="I472" s="8" t="n"/>
      <c r="J472" s="8" t="n"/>
      <c r="K472" s="8" t="n"/>
      <c r="L472" s="8" t="n"/>
      <c r="M472" s="8" t="n"/>
      <c r="O472" s="8" t="n"/>
      <c r="P472" s="8" t="n"/>
      <c r="Q472" s="8" t="n"/>
      <c r="R472" s="8" t="n"/>
      <c r="S472" s="8" t="n"/>
      <c r="T472" s="8" t="n"/>
      <c r="U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7">
        <f>IF(OR(F473="",G473=""),"",(G473-F473)*1440)</f>
        <v/>
      </c>
      <c r="I473" s="8" t="n"/>
      <c r="J473" s="8" t="n"/>
      <c r="K473" s="8" t="n"/>
      <c r="L473" s="8" t="n"/>
      <c r="M473" s="8" t="n"/>
      <c r="O473" s="8" t="n"/>
      <c r="P473" s="8" t="n"/>
      <c r="Q473" s="8" t="n"/>
      <c r="R473" s="8" t="n"/>
      <c r="S473" s="8" t="n"/>
      <c r="T473" s="8" t="n"/>
      <c r="U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7">
        <f>IF(OR(F474="",G474=""),"",(G474-F474)*1440)</f>
        <v/>
      </c>
      <c r="I474" s="8" t="n"/>
      <c r="J474" s="8" t="n"/>
      <c r="K474" s="8" t="n"/>
      <c r="L474" s="8" t="n"/>
      <c r="M474" s="8" t="n"/>
      <c r="O474" s="8" t="n"/>
      <c r="P474" s="8" t="n"/>
      <c r="Q474" s="8" t="n"/>
      <c r="R474" s="8" t="n"/>
      <c r="S474" s="8" t="n"/>
      <c r="T474" s="8" t="n"/>
      <c r="U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7">
        <f>IF(OR(F475="",G475=""),"",(G475-F475)*1440)</f>
        <v/>
      </c>
      <c r="I475" s="8" t="n"/>
      <c r="J475" s="8" t="n"/>
      <c r="K475" s="8" t="n"/>
      <c r="L475" s="8" t="n"/>
      <c r="M475" s="8" t="n"/>
      <c r="O475" s="8" t="n"/>
      <c r="P475" s="8" t="n"/>
      <c r="Q475" s="8" t="n"/>
      <c r="R475" s="8" t="n"/>
      <c r="S475" s="8" t="n"/>
      <c r="T475" s="8" t="n"/>
      <c r="U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7">
        <f>IF(OR(F476="",G476=""),"",(G476-F476)*1440)</f>
        <v/>
      </c>
      <c r="I476" s="8" t="n"/>
      <c r="J476" s="8" t="n"/>
      <c r="K476" s="8" t="n"/>
      <c r="L476" s="8" t="n"/>
      <c r="M476" s="8" t="n"/>
      <c r="O476" s="8" t="n"/>
      <c r="P476" s="8" t="n"/>
      <c r="Q476" s="8" t="n"/>
      <c r="R476" s="8" t="n"/>
      <c r="S476" s="8" t="n"/>
      <c r="T476" s="8" t="n"/>
      <c r="U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7">
        <f>IF(OR(F477="",G477=""),"",(G477-F477)*1440)</f>
        <v/>
      </c>
      <c r="I477" s="8" t="n"/>
      <c r="J477" s="8" t="n"/>
      <c r="K477" s="8" t="n"/>
      <c r="L477" s="8" t="n"/>
      <c r="M477" s="8" t="n"/>
      <c r="O477" s="8" t="n"/>
      <c r="P477" s="8" t="n"/>
      <c r="Q477" s="8" t="n"/>
      <c r="R477" s="8" t="n"/>
      <c r="S477" s="8" t="n"/>
      <c r="T477" s="8" t="n"/>
      <c r="U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7">
        <f>IF(OR(F478="",G478=""),"",(G478-F478)*1440)</f>
        <v/>
      </c>
      <c r="I478" s="8" t="n"/>
      <c r="J478" s="8" t="n"/>
      <c r="K478" s="8" t="n"/>
      <c r="L478" s="8" t="n"/>
      <c r="M478" s="8" t="n"/>
      <c r="O478" s="8" t="n"/>
      <c r="P478" s="8" t="n"/>
      <c r="Q478" s="8" t="n"/>
      <c r="R478" s="8" t="n"/>
      <c r="S478" s="8" t="n"/>
      <c r="T478" s="8" t="n"/>
      <c r="U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7">
        <f>IF(OR(F479="",G479=""),"",(G479-F479)*1440)</f>
        <v/>
      </c>
      <c r="I479" s="8" t="n"/>
      <c r="J479" s="8" t="n"/>
      <c r="K479" s="8" t="n"/>
      <c r="L479" s="8" t="n"/>
      <c r="M479" s="8" t="n"/>
      <c r="O479" s="8" t="n"/>
      <c r="P479" s="8" t="n"/>
      <c r="Q479" s="8" t="n"/>
      <c r="R479" s="8" t="n"/>
      <c r="S479" s="8" t="n"/>
      <c r="T479" s="8" t="n"/>
      <c r="U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7">
        <f>IF(OR(F480="",G480=""),"",(G480-F480)*1440)</f>
        <v/>
      </c>
      <c r="I480" s="8" t="n"/>
      <c r="J480" s="8" t="n"/>
      <c r="K480" s="8" t="n"/>
      <c r="L480" s="8" t="n"/>
      <c r="M480" s="8" t="n"/>
      <c r="O480" s="8" t="n"/>
      <c r="P480" s="8" t="n"/>
      <c r="Q480" s="8" t="n"/>
      <c r="R480" s="8" t="n"/>
      <c r="S480" s="8" t="n"/>
      <c r="T480" s="8" t="n"/>
      <c r="U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7">
        <f>IF(OR(F481="",G481=""),"",(G481-F481)*1440)</f>
        <v/>
      </c>
      <c r="I481" s="8" t="n"/>
      <c r="J481" s="8" t="n"/>
      <c r="K481" s="8" t="n"/>
      <c r="L481" s="8" t="n"/>
      <c r="M481" s="8" t="n"/>
      <c r="O481" s="8" t="n"/>
      <c r="P481" s="8" t="n"/>
      <c r="Q481" s="8" t="n"/>
      <c r="R481" s="8" t="n"/>
      <c r="S481" s="8" t="n"/>
      <c r="T481" s="8" t="n"/>
      <c r="U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7">
        <f>IF(OR(F482="",G482=""),"",(G482-F482)*1440)</f>
        <v/>
      </c>
      <c r="I482" s="8" t="n"/>
      <c r="J482" s="8" t="n"/>
      <c r="K482" s="8" t="n"/>
      <c r="L482" s="8" t="n"/>
      <c r="M482" s="8" t="n"/>
      <c r="O482" s="8" t="n"/>
      <c r="P482" s="8" t="n"/>
      <c r="Q482" s="8" t="n"/>
      <c r="R482" s="8" t="n"/>
      <c r="S482" s="8" t="n"/>
      <c r="T482" s="8" t="n"/>
      <c r="U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7">
        <f>IF(OR(F483="",G483=""),"",(G483-F483)*1440)</f>
        <v/>
      </c>
      <c r="I483" s="8" t="n"/>
      <c r="J483" s="8" t="n"/>
      <c r="K483" s="8" t="n"/>
      <c r="L483" s="8" t="n"/>
      <c r="M483" s="8" t="n"/>
      <c r="O483" s="8" t="n"/>
      <c r="P483" s="8" t="n"/>
      <c r="Q483" s="8" t="n"/>
      <c r="R483" s="8" t="n"/>
      <c r="S483" s="8" t="n"/>
      <c r="T483" s="8" t="n"/>
      <c r="U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7">
        <f>IF(OR(F484="",G484=""),"",(G484-F484)*1440)</f>
        <v/>
      </c>
      <c r="I484" s="8" t="n"/>
      <c r="J484" s="8" t="n"/>
      <c r="K484" s="8" t="n"/>
      <c r="L484" s="8" t="n"/>
      <c r="M484" s="8" t="n"/>
      <c r="O484" s="8" t="n"/>
      <c r="P484" s="8" t="n"/>
      <c r="Q484" s="8" t="n"/>
      <c r="R484" s="8" t="n"/>
      <c r="S484" s="8" t="n"/>
      <c r="T484" s="8" t="n"/>
      <c r="U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7">
        <f>IF(OR(F485="",G485=""),"",(G485-F485)*1440)</f>
        <v/>
      </c>
      <c r="I485" s="8" t="n"/>
      <c r="J485" s="8" t="n"/>
      <c r="K485" s="8" t="n"/>
      <c r="L485" s="8" t="n"/>
      <c r="M485" s="8" t="n"/>
      <c r="O485" s="8" t="n"/>
      <c r="P485" s="8" t="n"/>
      <c r="Q485" s="8" t="n"/>
      <c r="R485" s="8" t="n"/>
      <c r="S485" s="8" t="n"/>
      <c r="T485" s="8" t="n"/>
      <c r="U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7">
        <f>IF(OR(F486="",G486=""),"",(G486-F486)*1440)</f>
        <v/>
      </c>
      <c r="I486" s="8" t="n"/>
      <c r="J486" s="8" t="n"/>
      <c r="K486" s="8" t="n"/>
      <c r="L486" s="8" t="n"/>
      <c r="M486" s="8" t="n"/>
      <c r="O486" s="8" t="n"/>
      <c r="P486" s="8" t="n"/>
      <c r="Q486" s="8" t="n"/>
      <c r="R486" s="8" t="n"/>
      <c r="S486" s="8" t="n"/>
      <c r="T486" s="8" t="n"/>
      <c r="U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7">
        <f>IF(OR(F487="",G487=""),"",(G487-F487)*1440)</f>
        <v/>
      </c>
      <c r="I487" s="8" t="n"/>
      <c r="J487" s="8" t="n"/>
      <c r="K487" s="8" t="n"/>
      <c r="L487" s="8" t="n"/>
      <c r="M487" s="8" t="n"/>
      <c r="O487" s="8" t="n"/>
      <c r="P487" s="8" t="n"/>
      <c r="Q487" s="8" t="n"/>
      <c r="R487" s="8" t="n"/>
      <c r="S487" s="8" t="n"/>
      <c r="T487" s="8" t="n"/>
      <c r="U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7">
        <f>IF(OR(F488="",G488=""),"",(G488-F488)*1440)</f>
        <v/>
      </c>
      <c r="I488" s="8" t="n"/>
      <c r="J488" s="8" t="n"/>
      <c r="K488" s="8" t="n"/>
      <c r="L488" s="8" t="n"/>
      <c r="M488" s="8" t="n"/>
      <c r="O488" s="8" t="n"/>
      <c r="P488" s="8" t="n"/>
      <c r="Q488" s="8" t="n"/>
      <c r="R488" s="8" t="n"/>
      <c r="S488" s="8" t="n"/>
      <c r="T488" s="8" t="n"/>
      <c r="U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7">
        <f>IF(OR(F489="",G489=""),"",(G489-F489)*1440)</f>
        <v/>
      </c>
      <c r="I489" s="8" t="n"/>
      <c r="J489" s="8" t="n"/>
      <c r="K489" s="8" t="n"/>
      <c r="L489" s="8" t="n"/>
      <c r="M489" s="8" t="n"/>
      <c r="O489" s="8" t="n"/>
      <c r="P489" s="8" t="n"/>
      <c r="Q489" s="8" t="n"/>
      <c r="R489" s="8" t="n"/>
      <c r="S489" s="8" t="n"/>
      <c r="T489" s="8" t="n"/>
      <c r="U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7">
        <f>IF(OR(F490="",G490=""),"",(G490-F490)*1440)</f>
        <v/>
      </c>
      <c r="I490" s="8" t="n"/>
      <c r="J490" s="8" t="n"/>
      <c r="K490" s="8" t="n"/>
      <c r="L490" s="8" t="n"/>
      <c r="M490" s="8" t="n"/>
      <c r="O490" s="8" t="n"/>
      <c r="P490" s="8" t="n"/>
      <c r="Q490" s="8" t="n"/>
      <c r="R490" s="8" t="n"/>
      <c r="S490" s="8" t="n"/>
      <c r="T490" s="8" t="n"/>
      <c r="U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7">
        <f>IF(OR(F491="",G491=""),"",(G491-F491)*1440)</f>
        <v/>
      </c>
      <c r="I491" s="8" t="n"/>
      <c r="J491" s="8" t="n"/>
      <c r="K491" s="8" t="n"/>
      <c r="L491" s="8" t="n"/>
      <c r="M491" s="8" t="n"/>
      <c r="O491" s="8" t="n"/>
      <c r="P491" s="8" t="n"/>
      <c r="Q491" s="8" t="n"/>
      <c r="R491" s="8" t="n"/>
      <c r="S491" s="8" t="n"/>
      <c r="T491" s="8" t="n"/>
      <c r="U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7">
        <f>IF(OR(F492="",G492=""),"",(G492-F492)*1440)</f>
        <v/>
      </c>
      <c r="I492" s="8" t="n"/>
      <c r="J492" s="8" t="n"/>
      <c r="K492" s="8" t="n"/>
      <c r="L492" s="8" t="n"/>
      <c r="M492" s="8" t="n"/>
      <c r="O492" s="8" t="n"/>
      <c r="P492" s="8" t="n"/>
      <c r="Q492" s="8" t="n"/>
      <c r="R492" s="8" t="n"/>
      <c r="S492" s="8" t="n"/>
      <c r="T492" s="8" t="n"/>
      <c r="U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7">
        <f>IF(OR(F493="",G493=""),"",(G493-F493)*1440)</f>
        <v/>
      </c>
      <c r="I493" s="8" t="n"/>
      <c r="J493" s="8" t="n"/>
      <c r="K493" s="8" t="n"/>
      <c r="L493" s="8" t="n"/>
      <c r="M493" s="8" t="n"/>
      <c r="O493" s="8" t="n"/>
      <c r="P493" s="8" t="n"/>
      <c r="Q493" s="8" t="n"/>
      <c r="R493" s="8" t="n"/>
      <c r="S493" s="8" t="n"/>
      <c r="T493" s="8" t="n"/>
      <c r="U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7">
        <f>IF(OR(F494="",G494=""),"",(G494-F494)*1440)</f>
        <v/>
      </c>
      <c r="I494" s="8" t="n"/>
      <c r="J494" s="8" t="n"/>
      <c r="K494" s="8" t="n"/>
      <c r="L494" s="8" t="n"/>
      <c r="M494" s="8" t="n"/>
      <c r="O494" s="8" t="n"/>
      <c r="P494" s="8" t="n"/>
      <c r="Q494" s="8" t="n"/>
      <c r="R494" s="8" t="n"/>
      <c r="S494" s="8" t="n"/>
      <c r="T494" s="8" t="n"/>
      <c r="U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7">
        <f>IF(OR(F495="",G495=""),"",(G495-F495)*1440)</f>
        <v/>
      </c>
      <c r="I495" s="8" t="n"/>
      <c r="J495" s="8" t="n"/>
      <c r="K495" s="8" t="n"/>
      <c r="L495" s="8" t="n"/>
      <c r="M495" s="8" t="n"/>
      <c r="O495" s="8" t="n"/>
      <c r="P495" s="8" t="n"/>
      <c r="Q495" s="8" t="n"/>
      <c r="R495" s="8" t="n"/>
      <c r="S495" s="8" t="n"/>
      <c r="T495" s="8" t="n"/>
      <c r="U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7">
        <f>IF(OR(F496="",G496=""),"",(G496-F496)*1440)</f>
        <v/>
      </c>
      <c r="I496" s="8" t="n"/>
      <c r="J496" s="8" t="n"/>
      <c r="K496" s="8" t="n"/>
      <c r="L496" s="8" t="n"/>
      <c r="M496" s="8" t="n"/>
      <c r="O496" s="8" t="n"/>
      <c r="P496" s="8" t="n"/>
      <c r="Q496" s="8" t="n"/>
      <c r="R496" s="8" t="n"/>
      <c r="S496" s="8" t="n"/>
      <c r="T496" s="8" t="n"/>
      <c r="U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7">
        <f>IF(OR(F497="",G497=""),"",(G497-F497)*1440)</f>
        <v/>
      </c>
      <c r="I497" s="8" t="n"/>
      <c r="J497" s="8" t="n"/>
      <c r="K497" s="8" t="n"/>
      <c r="L497" s="8" t="n"/>
      <c r="M497" s="8" t="n"/>
      <c r="O497" s="8" t="n"/>
      <c r="P497" s="8" t="n"/>
      <c r="Q497" s="8" t="n"/>
      <c r="R497" s="8" t="n"/>
      <c r="S497" s="8" t="n"/>
      <c r="T497" s="8" t="n"/>
      <c r="U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7">
        <f>IF(OR(F498="",G498=""),"",(G498-F498)*1440)</f>
        <v/>
      </c>
      <c r="I498" s="8" t="n"/>
      <c r="J498" s="8" t="n"/>
      <c r="K498" s="8" t="n"/>
      <c r="L498" s="8" t="n"/>
      <c r="M498" s="8" t="n"/>
      <c r="O498" s="8" t="n"/>
      <c r="P498" s="8" t="n"/>
      <c r="Q498" s="8" t="n"/>
      <c r="R498" s="8" t="n"/>
      <c r="S498" s="8" t="n"/>
      <c r="T498" s="8" t="n"/>
      <c r="U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7">
        <f>IF(OR(F499="",G499=""),"",(G499-F499)*1440)</f>
        <v/>
      </c>
      <c r="I499" s="8" t="n"/>
      <c r="J499" s="8" t="n"/>
      <c r="K499" s="8" t="n"/>
      <c r="L499" s="8" t="n"/>
      <c r="M499" s="8" t="n"/>
      <c r="O499" s="8" t="n"/>
      <c r="P499" s="8" t="n"/>
      <c r="Q499" s="8" t="n"/>
      <c r="R499" s="8" t="n"/>
      <c r="S499" s="8" t="n"/>
      <c r="T499" s="8" t="n"/>
      <c r="U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7">
        <f>IF(OR(F500="",G500=""),"",(G500-F500)*1440)</f>
        <v/>
      </c>
      <c r="I500" s="8" t="n"/>
      <c r="J500" s="8" t="n"/>
      <c r="K500" s="8" t="n"/>
      <c r="L500" s="8" t="n"/>
      <c r="M500" s="8" t="n"/>
      <c r="O500" s="8" t="n"/>
      <c r="P500" s="8" t="n"/>
      <c r="Q500" s="8" t="n"/>
      <c r="R500" s="8" t="n"/>
      <c r="S500" s="8" t="n"/>
      <c r="T500" s="8" t="n"/>
      <c r="U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7">
        <f>IF(OR(F501="",G501=""),"",(G501-F501)*1440)</f>
        <v/>
      </c>
      <c r="I501" s="8" t="n"/>
      <c r="J501" s="8" t="n"/>
      <c r="K501" s="8" t="n"/>
      <c r="L501" s="8" t="n"/>
      <c r="M501" s="8" t="n"/>
      <c r="O501" s="8" t="n"/>
      <c r="P501" s="8" t="n"/>
      <c r="Q501" s="8" t="n"/>
      <c r="R501" s="8" t="n"/>
      <c r="S501" s="8" t="n"/>
      <c r="T501" s="8" t="n"/>
      <c r="U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7">
        <f>IF(OR(F502="",G502=""),"",(G502-F502)*1440)</f>
        <v/>
      </c>
      <c r="I502" s="8" t="n"/>
      <c r="J502" s="8" t="n"/>
      <c r="K502" s="8" t="n"/>
      <c r="L502" s="8" t="n"/>
      <c r="M502" s="8" t="n"/>
      <c r="O502" s="8" t="n"/>
      <c r="P502" s="8" t="n"/>
      <c r="Q502" s="8" t="n"/>
      <c r="R502" s="8" t="n"/>
      <c r="S502" s="8" t="n"/>
      <c r="T502" s="8" t="n"/>
      <c r="U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7">
        <f>IF(OR(F503="",G503=""),"",(G503-F503)*1440)</f>
        <v/>
      </c>
      <c r="I503" s="8" t="n"/>
      <c r="J503" s="8" t="n"/>
      <c r="K503" s="8" t="n"/>
      <c r="L503" s="8" t="n"/>
      <c r="M503" s="8" t="n"/>
      <c r="O503" s="8" t="n"/>
      <c r="P503" s="8" t="n"/>
      <c r="Q503" s="8" t="n"/>
      <c r="R503" s="8" t="n"/>
      <c r="S503" s="8" t="n"/>
      <c r="T503" s="8" t="n"/>
      <c r="U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7">
        <f>IF(OR(F504="",G504=""),"",(G504-F504)*1440)</f>
        <v/>
      </c>
      <c r="I504" s="8" t="n"/>
      <c r="J504" s="8" t="n"/>
      <c r="K504" s="8" t="n"/>
      <c r="L504" s="8" t="n"/>
      <c r="M504" s="8" t="n"/>
      <c r="O504" s="8" t="n"/>
      <c r="P504" s="8" t="n"/>
      <c r="Q504" s="8" t="n"/>
      <c r="R504" s="8" t="n"/>
      <c r="S504" s="8" t="n"/>
      <c r="T504" s="8" t="n"/>
      <c r="U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7">
        <f>IF(OR(F505="",G505=""),"",(G505-F505)*1440)</f>
        <v/>
      </c>
      <c r="I505" s="8" t="n"/>
      <c r="J505" s="8" t="n"/>
      <c r="K505" s="8" t="n"/>
      <c r="L505" s="8" t="n"/>
      <c r="M505" s="8" t="n"/>
      <c r="O505" s="8" t="n"/>
      <c r="P505" s="8" t="n"/>
      <c r="Q505" s="8" t="n"/>
      <c r="R505" s="8" t="n"/>
      <c r="S505" s="8" t="n"/>
      <c r="T505" s="8" t="n"/>
      <c r="U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7">
        <f>IF(OR(F506="",G506=""),"",(G506-F506)*1440)</f>
        <v/>
      </c>
      <c r="I506" s="8" t="n"/>
      <c r="J506" s="8" t="n"/>
      <c r="K506" s="8" t="n"/>
      <c r="L506" s="8" t="n"/>
      <c r="M506" s="8" t="n"/>
      <c r="O506" s="8" t="n"/>
      <c r="P506" s="8" t="n"/>
      <c r="Q506" s="8" t="n"/>
      <c r="R506" s="8" t="n"/>
      <c r="S506" s="8" t="n"/>
      <c r="T506" s="8" t="n"/>
      <c r="U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7">
        <f>IF(OR(F507="",G507=""),"",(G507-F507)*1440)</f>
        <v/>
      </c>
      <c r="I507" s="8" t="n"/>
      <c r="J507" s="8" t="n"/>
      <c r="K507" s="8" t="n"/>
      <c r="L507" s="8" t="n"/>
      <c r="M507" s="8" t="n"/>
      <c r="O507" s="8" t="n"/>
      <c r="P507" s="8" t="n"/>
      <c r="Q507" s="8" t="n"/>
      <c r="R507" s="8" t="n"/>
      <c r="S507" s="8" t="n"/>
      <c r="T507" s="8" t="n"/>
      <c r="U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7">
        <f>IF(OR(F508="",G508=""),"",(G508-F508)*1440)</f>
        <v/>
      </c>
      <c r="I508" s="8" t="n"/>
      <c r="J508" s="8" t="n"/>
      <c r="K508" s="8" t="n"/>
      <c r="L508" s="8" t="n"/>
      <c r="M508" s="8" t="n"/>
      <c r="O508" s="8" t="n"/>
      <c r="P508" s="8" t="n"/>
      <c r="Q508" s="8" t="n"/>
      <c r="R508" s="8" t="n"/>
      <c r="S508" s="8" t="n"/>
      <c r="T508" s="8" t="n"/>
      <c r="U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7">
        <f>IF(OR(F509="",G509=""),"",(G509-F509)*1440)</f>
        <v/>
      </c>
      <c r="I509" s="8" t="n"/>
      <c r="J509" s="8" t="n"/>
      <c r="K509" s="8" t="n"/>
      <c r="L509" s="8" t="n"/>
      <c r="M509" s="8" t="n"/>
      <c r="O509" s="8" t="n"/>
      <c r="P509" s="8" t="n"/>
      <c r="Q509" s="8" t="n"/>
      <c r="R509" s="8" t="n"/>
      <c r="S509" s="8" t="n"/>
      <c r="T509" s="8" t="n"/>
      <c r="U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7">
        <f>IF(OR(F510="",G510=""),"",(G510-F510)*1440)</f>
        <v/>
      </c>
      <c r="I510" s="8" t="n"/>
      <c r="J510" s="8" t="n"/>
      <c r="K510" s="8" t="n"/>
      <c r="L510" s="8" t="n"/>
      <c r="M510" s="8" t="n"/>
      <c r="O510" s="8" t="n"/>
      <c r="P510" s="8" t="n"/>
      <c r="Q510" s="8" t="n"/>
      <c r="R510" s="8" t="n"/>
      <c r="S510" s="8" t="n"/>
      <c r="T510" s="8" t="n"/>
      <c r="U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7">
        <f>IF(OR(F511="",G511=""),"",(G511-F511)*1440)</f>
        <v/>
      </c>
      <c r="I511" s="8" t="n"/>
      <c r="J511" s="8" t="n"/>
      <c r="K511" s="8" t="n"/>
      <c r="L511" s="8" t="n"/>
      <c r="M511" s="8" t="n"/>
      <c r="O511" s="8" t="n"/>
      <c r="P511" s="8" t="n"/>
      <c r="Q511" s="8" t="n"/>
      <c r="R511" s="8" t="n"/>
      <c r="S511" s="8" t="n"/>
      <c r="T511" s="8" t="n"/>
      <c r="U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7">
        <f>IF(OR(F512="",G512=""),"",(G512-F512)*1440)</f>
        <v/>
      </c>
      <c r="I512" s="8" t="n"/>
      <c r="J512" s="8" t="n"/>
      <c r="K512" s="8" t="n"/>
      <c r="L512" s="8" t="n"/>
      <c r="M512" s="8" t="n"/>
      <c r="O512" s="8" t="n"/>
      <c r="P512" s="8" t="n"/>
      <c r="Q512" s="8" t="n"/>
      <c r="R512" s="8" t="n"/>
      <c r="S512" s="8" t="n"/>
      <c r="T512" s="8" t="n"/>
      <c r="U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7">
        <f>IF(OR(F513="",G513=""),"",(G513-F513)*1440)</f>
        <v/>
      </c>
      <c r="I513" s="8" t="n"/>
      <c r="J513" s="8" t="n"/>
      <c r="K513" s="8" t="n"/>
      <c r="L513" s="8" t="n"/>
      <c r="M513" s="8" t="n"/>
      <c r="O513" s="8" t="n"/>
      <c r="P513" s="8" t="n"/>
      <c r="Q513" s="8" t="n"/>
      <c r="R513" s="8" t="n"/>
      <c r="S513" s="8" t="n"/>
      <c r="T513" s="8" t="n"/>
      <c r="U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7">
        <f>IF(OR(F514="",G514=""),"",(G514-F514)*1440)</f>
        <v/>
      </c>
      <c r="I514" s="8" t="n"/>
      <c r="J514" s="8" t="n"/>
      <c r="K514" s="8" t="n"/>
      <c r="L514" s="8" t="n"/>
      <c r="M514" s="8" t="n"/>
      <c r="O514" s="8" t="n"/>
      <c r="P514" s="8" t="n"/>
      <c r="Q514" s="8" t="n"/>
      <c r="R514" s="8" t="n"/>
      <c r="S514" s="8" t="n"/>
      <c r="T514" s="8" t="n"/>
      <c r="U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7">
        <f>IF(OR(F515="",G515=""),"",(G515-F515)*1440)</f>
        <v/>
      </c>
      <c r="I515" s="8" t="n"/>
      <c r="J515" s="8" t="n"/>
      <c r="K515" s="8" t="n"/>
      <c r="L515" s="8" t="n"/>
      <c r="M515" s="8" t="n"/>
      <c r="O515" s="8" t="n"/>
      <c r="P515" s="8" t="n"/>
      <c r="Q515" s="8" t="n"/>
      <c r="R515" s="8" t="n"/>
      <c r="S515" s="8" t="n"/>
      <c r="T515" s="8" t="n"/>
      <c r="U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7">
        <f>IF(OR(F516="",G516=""),"",(G516-F516)*1440)</f>
        <v/>
      </c>
      <c r="I516" s="8" t="n"/>
      <c r="J516" s="8" t="n"/>
      <c r="K516" s="8" t="n"/>
      <c r="L516" s="8" t="n"/>
      <c r="M516" s="8" t="n"/>
      <c r="O516" s="8" t="n"/>
      <c r="P516" s="8" t="n"/>
      <c r="Q516" s="8" t="n"/>
      <c r="R516" s="8" t="n"/>
      <c r="S516" s="8" t="n"/>
      <c r="T516" s="8" t="n"/>
      <c r="U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7">
        <f>IF(OR(F517="",G517=""),"",(G517-F517)*1440)</f>
        <v/>
      </c>
      <c r="I517" s="8" t="n"/>
      <c r="J517" s="8" t="n"/>
      <c r="K517" s="8" t="n"/>
      <c r="L517" s="8" t="n"/>
      <c r="M517" s="8" t="n"/>
      <c r="O517" s="8" t="n"/>
      <c r="P517" s="8" t="n"/>
      <c r="Q517" s="8" t="n"/>
      <c r="R517" s="8" t="n"/>
      <c r="S517" s="8" t="n"/>
      <c r="T517" s="8" t="n"/>
      <c r="U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7">
        <f>IF(OR(F518="",G518=""),"",(G518-F518)*1440)</f>
        <v/>
      </c>
      <c r="I518" s="8" t="n"/>
      <c r="J518" s="8" t="n"/>
      <c r="K518" s="8" t="n"/>
      <c r="L518" s="8" t="n"/>
      <c r="M518" s="8" t="n"/>
      <c r="O518" s="8" t="n"/>
      <c r="P518" s="8" t="n"/>
      <c r="Q518" s="8" t="n"/>
      <c r="R518" s="8" t="n"/>
      <c r="S518" s="8" t="n"/>
      <c r="T518" s="8" t="n"/>
      <c r="U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7">
        <f>IF(OR(F519="",G519=""),"",(G519-F519)*1440)</f>
        <v/>
      </c>
      <c r="I519" s="8" t="n"/>
      <c r="J519" s="8" t="n"/>
      <c r="K519" s="8" t="n"/>
      <c r="L519" s="8" t="n"/>
      <c r="M519" s="8" t="n"/>
      <c r="O519" s="8" t="n"/>
      <c r="P519" s="8" t="n"/>
      <c r="Q519" s="8" t="n"/>
      <c r="R519" s="8" t="n"/>
      <c r="S519" s="8" t="n"/>
      <c r="T519" s="8" t="n"/>
      <c r="U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7">
        <f>IF(OR(F520="",G520=""),"",(G520-F520)*1440)</f>
        <v/>
      </c>
      <c r="I520" s="8" t="n"/>
      <c r="J520" s="8" t="n"/>
      <c r="K520" s="8" t="n"/>
      <c r="L520" s="8" t="n"/>
      <c r="M520" s="8" t="n"/>
      <c r="O520" s="8" t="n"/>
      <c r="P520" s="8" t="n"/>
      <c r="Q520" s="8" t="n"/>
      <c r="R520" s="8" t="n"/>
      <c r="S520" s="8" t="n"/>
      <c r="T520" s="8" t="n"/>
      <c r="U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7">
        <f>IF(OR(F521="",G521=""),"",(G521-F521)*1440)</f>
        <v/>
      </c>
      <c r="I521" s="8" t="n"/>
      <c r="J521" s="8" t="n"/>
      <c r="K521" s="8" t="n"/>
      <c r="L521" s="8" t="n"/>
      <c r="M521" s="8" t="n"/>
      <c r="O521" s="8" t="n"/>
      <c r="P521" s="8" t="n"/>
      <c r="Q521" s="8" t="n"/>
      <c r="R521" s="8" t="n"/>
      <c r="S521" s="8" t="n"/>
      <c r="T521" s="8" t="n"/>
      <c r="U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7">
        <f>IF(OR(F522="",G522=""),"",(G522-F522)*1440)</f>
        <v/>
      </c>
      <c r="I522" s="8" t="n"/>
      <c r="J522" s="8" t="n"/>
      <c r="K522" s="8" t="n"/>
      <c r="L522" s="8" t="n"/>
      <c r="M522" s="8" t="n"/>
      <c r="O522" s="8" t="n"/>
      <c r="P522" s="8" t="n"/>
      <c r="Q522" s="8" t="n"/>
      <c r="R522" s="8" t="n"/>
      <c r="S522" s="8" t="n"/>
      <c r="T522" s="8" t="n"/>
      <c r="U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7">
        <f>IF(OR(F523="",G523=""),"",(G523-F523)*1440)</f>
        <v/>
      </c>
      <c r="I523" s="8" t="n"/>
      <c r="J523" s="8" t="n"/>
      <c r="K523" s="8" t="n"/>
      <c r="L523" s="8" t="n"/>
      <c r="M523" s="8" t="n"/>
      <c r="O523" s="8" t="n"/>
      <c r="P523" s="8" t="n"/>
      <c r="Q523" s="8" t="n"/>
      <c r="R523" s="8" t="n"/>
      <c r="S523" s="8" t="n"/>
      <c r="T523" s="8" t="n"/>
      <c r="U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7">
        <f>IF(OR(F524="",G524=""),"",(G524-F524)*1440)</f>
        <v/>
      </c>
      <c r="I524" s="8" t="n"/>
      <c r="J524" s="8" t="n"/>
      <c r="K524" s="8" t="n"/>
      <c r="L524" s="8" t="n"/>
      <c r="M524" s="8" t="n"/>
      <c r="O524" s="8" t="n"/>
      <c r="P524" s="8" t="n"/>
      <c r="Q524" s="8" t="n"/>
      <c r="R524" s="8" t="n"/>
      <c r="S524" s="8" t="n"/>
      <c r="T524" s="8" t="n"/>
      <c r="U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7">
        <f>IF(OR(F525="",G525=""),"",(G525-F525)*1440)</f>
        <v/>
      </c>
      <c r="I525" s="8" t="n"/>
      <c r="J525" s="8" t="n"/>
      <c r="K525" s="8" t="n"/>
      <c r="L525" s="8" t="n"/>
      <c r="M525" s="8" t="n"/>
      <c r="O525" s="8" t="n"/>
      <c r="P525" s="8" t="n"/>
      <c r="Q525" s="8" t="n"/>
      <c r="R525" s="8" t="n"/>
      <c r="S525" s="8" t="n"/>
      <c r="T525" s="8" t="n"/>
      <c r="U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7">
        <f>IF(OR(F526="",G526=""),"",(G526-F526)*1440)</f>
        <v/>
      </c>
      <c r="I526" s="8" t="n"/>
      <c r="J526" s="8" t="n"/>
      <c r="K526" s="8" t="n"/>
      <c r="L526" s="8" t="n"/>
      <c r="M526" s="8" t="n"/>
      <c r="O526" s="8" t="n"/>
      <c r="P526" s="8" t="n"/>
      <c r="Q526" s="8" t="n"/>
      <c r="R526" s="8" t="n"/>
      <c r="S526" s="8" t="n"/>
      <c r="T526" s="8" t="n"/>
      <c r="U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7">
        <f>IF(OR(F527="",G527=""),"",(G527-F527)*1440)</f>
        <v/>
      </c>
      <c r="I527" s="8" t="n"/>
      <c r="J527" s="8" t="n"/>
      <c r="K527" s="8" t="n"/>
      <c r="L527" s="8" t="n"/>
      <c r="M527" s="8" t="n"/>
      <c r="O527" s="8" t="n"/>
      <c r="P527" s="8" t="n"/>
      <c r="Q527" s="8" t="n"/>
      <c r="R527" s="8" t="n"/>
      <c r="S527" s="8" t="n"/>
      <c r="T527" s="8" t="n"/>
      <c r="U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7">
        <f>IF(OR(F528="",G528=""),"",(G528-F528)*1440)</f>
        <v/>
      </c>
      <c r="I528" s="8" t="n"/>
      <c r="J528" s="8" t="n"/>
      <c r="K528" s="8" t="n"/>
      <c r="L528" s="8" t="n"/>
      <c r="M528" s="8" t="n"/>
      <c r="O528" s="8" t="n"/>
      <c r="P528" s="8" t="n"/>
      <c r="Q528" s="8" t="n"/>
      <c r="R528" s="8" t="n"/>
      <c r="S528" s="8" t="n"/>
      <c r="T528" s="8" t="n"/>
      <c r="U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7">
        <f>IF(OR(F529="",G529=""),"",(G529-F529)*1440)</f>
        <v/>
      </c>
      <c r="I529" s="8" t="n"/>
      <c r="J529" s="8" t="n"/>
      <c r="K529" s="8" t="n"/>
      <c r="L529" s="8" t="n"/>
      <c r="M529" s="8" t="n"/>
      <c r="O529" s="8" t="n"/>
      <c r="P529" s="8" t="n"/>
      <c r="Q529" s="8" t="n"/>
      <c r="R529" s="8" t="n"/>
      <c r="S529" s="8" t="n"/>
      <c r="T529" s="8" t="n"/>
      <c r="U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7">
        <f>IF(OR(F530="",G530=""),"",(G530-F530)*1440)</f>
        <v/>
      </c>
      <c r="I530" s="8" t="n"/>
      <c r="J530" s="8" t="n"/>
      <c r="K530" s="8" t="n"/>
      <c r="L530" s="8" t="n"/>
      <c r="M530" s="8" t="n"/>
      <c r="O530" s="8" t="n"/>
      <c r="P530" s="8" t="n"/>
      <c r="Q530" s="8" t="n"/>
      <c r="R530" s="8" t="n"/>
      <c r="S530" s="8" t="n"/>
      <c r="T530" s="8" t="n"/>
      <c r="U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7">
        <f>IF(OR(F531="",G531=""),"",(G531-F531)*1440)</f>
        <v/>
      </c>
      <c r="I531" s="8" t="n"/>
      <c r="J531" s="8" t="n"/>
      <c r="K531" s="8" t="n"/>
      <c r="L531" s="8" t="n"/>
      <c r="M531" s="8" t="n"/>
      <c r="O531" s="8" t="n"/>
      <c r="P531" s="8" t="n"/>
      <c r="Q531" s="8" t="n"/>
      <c r="R531" s="8" t="n"/>
      <c r="S531" s="8" t="n"/>
      <c r="T531" s="8" t="n"/>
      <c r="U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7">
        <f>IF(OR(F532="",G532=""),"",(G532-F532)*1440)</f>
        <v/>
      </c>
      <c r="I532" s="8" t="n"/>
      <c r="J532" s="8" t="n"/>
      <c r="K532" s="8" t="n"/>
      <c r="L532" s="8" t="n"/>
      <c r="M532" s="8" t="n"/>
      <c r="O532" s="8" t="n"/>
      <c r="P532" s="8" t="n"/>
      <c r="Q532" s="8" t="n"/>
      <c r="R532" s="8" t="n"/>
      <c r="S532" s="8" t="n"/>
      <c r="T532" s="8" t="n"/>
      <c r="U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7">
        <f>IF(OR(F533="",G533=""),"",(G533-F533)*1440)</f>
        <v/>
      </c>
      <c r="I533" s="8" t="n"/>
      <c r="J533" s="8" t="n"/>
      <c r="K533" s="8" t="n"/>
      <c r="L533" s="8" t="n"/>
      <c r="M533" s="8" t="n"/>
      <c r="O533" s="8" t="n"/>
      <c r="P533" s="8" t="n"/>
      <c r="Q533" s="8" t="n"/>
      <c r="R533" s="8" t="n"/>
      <c r="S533" s="8" t="n"/>
      <c r="T533" s="8" t="n"/>
      <c r="U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7">
        <f>IF(OR(F534="",G534=""),"",(G534-F534)*1440)</f>
        <v/>
      </c>
      <c r="I534" s="8" t="n"/>
      <c r="J534" s="8" t="n"/>
      <c r="K534" s="8" t="n"/>
      <c r="L534" s="8" t="n"/>
      <c r="M534" s="8" t="n"/>
      <c r="O534" s="8" t="n"/>
      <c r="P534" s="8" t="n"/>
      <c r="Q534" s="8" t="n"/>
      <c r="R534" s="8" t="n"/>
      <c r="S534" s="8" t="n"/>
      <c r="T534" s="8" t="n"/>
      <c r="U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7">
        <f>IF(OR(F535="",G535=""),"",(G535-F535)*1440)</f>
        <v/>
      </c>
      <c r="I535" s="8" t="n"/>
      <c r="J535" s="8" t="n"/>
      <c r="K535" s="8" t="n"/>
      <c r="L535" s="8" t="n"/>
      <c r="M535" s="8" t="n"/>
      <c r="O535" s="8" t="n"/>
      <c r="P535" s="8" t="n"/>
      <c r="Q535" s="8" t="n"/>
      <c r="R535" s="8" t="n"/>
      <c r="S535" s="8" t="n"/>
      <c r="T535" s="8" t="n"/>
      <c r="U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7">
        <f>IF(OR(F536="",G536=""),"",(G536-F536)*1440)</f>
        <v/>
      </c>
      <c r="I536" s="8" t="n"/>
      <c r="J536" s="8" t="n"/>
      <c r="K536" s="8" t="n"/>
      <c r="L536" s="8" t="n"/>
      <c r="M536" s="8" t="n"/>
      <c r="O536" s="8" t="n"/>
      <c r="P536" s="8" t="n"/>
      <c r="Q536" s="8" t="n"/>
      <c r="R536" s="8" t="n"/>
      <c r="S536" s="8" t="n"/>
      <c r="T536" s="8" t="n"/>
      <c r="U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7">
        <f>IF(OR(F537="",G537=""),"",(G537-F537)*1440)</f>
        <v/>
      </c>
      <c r="I537" s="8" t="n"/>
      <c r="J537" s="8" t="n"/>
      <c r="K537" s="8" t="n"/>
      <c r="L537" s="8" t="n"/>
      <c r="M537" s="8" t="n"/>
      <c r="O537" s="8" t="n"/>
      <c r="P537" s="8" t="n"/>
      <c r="Q537" s="8" t="n"/>
      <c r="R537" s="8" t="n"/>
      <c r="S537" s="8" t="n"/>
      <c r="T537" s="8" t="n"/>
      <c r="U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7">
        <f>IF(OR(F538="",G538=""),"",(G538-F538)*1440)</f>
        <v/>
      </c>
      <c r="I538" s="8" t="n"/>
      <c r="J538" s="8" t="n"/>
      <c r="K538" s="8" t="n"/>
      <c r="L538" s="8" t="n"/>
      <c r="M538" s="8" t="n"/>
      <c r="O538" s="8" t="n"/>
      <c r="P538" s="8" t="n"/>
      <c r="Q538" s="8" t="n"/>
      <c r="R538" s="8" t="n"/>
      <c r="S538" s="8" t="n"/>
      <c r="T538" s="8" t="n"/>
      <c r="U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7">
        <f>IF(OR(F539="",G539=""),"",(G539-F539)*1440)</f>
        <v/>
      </c>
      <c r="I539" s="8" t="n"/>
      <c r="J539" s="8" t="n"/>
      <c r="K539" s="8" t="n"/>
      <c r="L539" s="8" t="n"/>
      <c r="M539" s="8" t="n"/>
      <c r="O539" s="8" t="n"/>
      <c r="P539" s="8" t="n"/>
      <c r="Q539" s="8" t="n"/>
      <c r="R539" s="8" t="n"/>
      <c r="S539" s="8" t="n"/>
      <c r="T539" s="8" t="n"/>
      <c r="U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7">
        <f>IF(OR(F540="",G540=""),"",(G540-F540)*1440)</f>
        <v/>
      </c>
      <c r="I540" s="8" t="n"/>
      <c r="J540" s="8" t="n"/>
      <c r="K540" s="8" t="n"/>
      <c r="L540" s="8" t="n"/>
      <c r="M540" s="8" t="n"/>
      <c r="O540" s="8" t="n"/>
      <c r="P540" s="8" t="n"/>
      <c r="Q540" s="8" t="n"/>
      <c r="R540" s="8" t="n"/>
      <c r="S540" s="8" t="n"/>
      <c r="T540" s="8" t="n"/>
      <c r="U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7">
        <f>IF(OR(F541="",G541=""),"",(G541-F541)*1440)</f>
        <v/>
      </c>
      <c r="I541" s="8" t="n"/>
      <c r="J541" s="8" t="n"/>
      <c r="K541" s="8" t="n"/>
      <c r="L541" s="8" t="n"/>
      <c r="M541" s="8" t="n"/>
      <c r="O541" s="8" t="n"/>
      <c r="P541" s="8" t="n"/>
      <c r="Q541" s="8" t="n"/>
      <c r="R541" s="8" t="n"/>
      <c r="S541" s="8" t="n"/>
      <c r="T541" s="8" t="n"/>
      <c r="U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7">
        <f>IF(OR(F542="",G542=""),"",(G542-F542)*1440)</f>
        <v/>
      </c>
      <c r="I542" s="8" t="n"/>
      <c r="J542" s="8" t="n"/>
      <c r="K542" s="8" t="n"/>
      <c r="L542" s="8" t="n"/>
      <c r="M542" s="8" t="n"/>
      <c r="O542" s="8" t="n"/>
      <c r="P542" s="8" t="n"/>
      <c r="Q542" s="8" t="n"/>
      <c r="R542" s="8" t="n"/>
      <c r="S542" s="8" t="n"/>
      <c r="T542" s="8" t="n"/>
      <c r="U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7">
        <f>IF(OR(F543="",G543=""),"",(G543-F543)*1440)</f>
        <v/>
      </c>
      <c r="I543" s="8" t="n"/>
      <c r="J543" s="8" t="n"/>
      <c r="K543" s="8" t="n"/>
      <c r="L543" s="8" t="n"/>
      <c r="M543" s="8" t="n"/>
      <c r="O543" s="8" t="n"/>
      <c r="P543" s="8" t="n"/>
      <c r="Q543" s="8" t="n"/>
      <c r="R543" s="8" t="n"/>
      <c r="S543" s="8" t="n"/>
      <c r="T543" s="8" t="n"/>
      <c r="U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7">
        <f>IF(OR(F544="",G544=""),"",(G544-F544)*1440)</f>
        <v/>
      </c>
      <c r="I544" s="8" t="n"/>
      <c r="J544" s="8" t="n"/>
      <c r="K544" s="8" t="n"/>
      <c r="L544" s="8" t="n"/>
      <c r="M544" s="8" t="n"/>
      <c r="O544" s="8" t="n"/>
      <c r="P544" s="8" t="n"/>
      <c r="Q544" s="8" t="n"/>
      <c r="R544" s="8" t="n"/>
      <c r="S544" s="8" t="n"/>
      <c r="T544" s="8" t="n"/>
      <c r="U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7">
        <f>IF(OR(F545="",G545=""),"",(G545-F545)*1440)</f>
        <v/>
      </c>
      <c r="I545" s="8" t="n"/>
      <c r="J545" s="8" t="n"/>
      <c r="K545" s="8" t="n"/>
      <c r="L545" s="8" t="n"/>
      <c r="M545" s="8" t="n"/>
      <c r="O545" s="8" t="n"/>
      <c r="P545" s="8" t="n"/>
      <c r="Q545" s="8" t="n"/>
      <c r="R545" s="8" t="n"/>
      <c r="S545" s="8" t="n"/>
      <c r="T545" s="8" t="n"/>
      <c r="U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7">
        <f>IF(OR(F546="",G546=""),"",(G546-F546)*1440)</f>
        <v/>
      </c>
      <c r="I546" s="8" t="n"/>
      <c r="J546" s="8" t="n"/>
      <c r="K546" s="8" t="n"/>
      <c r="L546" s="8" t="n"/>
      <c r="M546" s="8" t="n"/>
      <c r="O546" s="8" t="n"/>
      <c r="P546" s="8" t="n"/>
      <c r="Q546" s="8" t="n"/>
      <c r="R546" s="8" t="n"/>
      <c r="S546" s="8" t="n"/>
      <c r="T546" s="8" t="n"/>
      <c r="U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7">
        <f>IF(OR(F547="",G547=""),"",(G547-F547)*1440)</f>
        <v/>
      </c>
      <c r="I547" s="8" t="n"/>
      <c r="J547" s="8" t="n"/>
      <c r="K547" s="8" t="n"/>
      <c r="L547" s="8" t="n"/>
      <c r="M547" s="8" t="n"/>
      <c r="O547" s="8" t="n"/>
      <c r="P547" s="8" t="n"/>
      <c r="Q547" s="8" t="n"/>
      <c r="R547" s="8" t="n"/>
      <c r="S547" s="8" t="n"/>
      <c r="T547" s="8" t="n"/>
      <c r="U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7">
        <f>IF(OR(F548="",G548=""),"",(G548-F548)*1440)</f>
        <v/>
      </c>
      <c r="I548" s="8" t="n"/>
      <c r="J548" s="8" t="n"/>
      <c r="K548" s="8" t="n"/>
      <c r="L548" s="8" t="n"/>
      <c r="M548" s="8" t="n"/>
      <c r="O548" s="8" t="n"/>
      <c r="P548" s="8" t="n"/>
      <c r="Q548" s="8" t="n"/>
      <c r="R548" s="8" t="n"/>
      <c r="S548" s="8" t="n"/>
      <c r="T548" s="8" t="n"/>
      <c r="U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7">
        <f>IF(OR(F549="",G549=""),"",(G549-F549)*1440)</f>
        <v/>
      </c>
      <c r="I549" s="8" t="n"/>
      <c r="J549" s="8" t="n"/>
      <c r="K549" s="8" t="n"/>
      <c r="L549" s="8" t="n"/>
      <c r="M549" s="8" t="n"/>
      <c r="O549" s="8" t="n"/>
      <c r="P549" s="8" t="n"/>
      <c r="Q549" s="8" t="n"/>
      <c r="R549" s="8" t="n"/>
      <c r="S549" s="8" t="n"/>
      <c r="T549" s="8" t="n"/>
      <c r="U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7">
        <f>IF(OR(F550="",G550=""),"",(G550-F550)*1440)</f>
        <v/>
      </c>
      <c r="I550" s="8" t="n"/>
      <c r="J550" s="8" t="n"/>
      <c r="K550" s="8" t="n"/>
      <c r="L550" s="8" t="n"/>
      <c r="M550" s="8" t="n"/>
      <c r="O550" s="8" t="n"/>
      <c r="P550" s="8" t="n"/>
      <c r="Q550" s="8" t="n"/>
      <c r="R550" s="8" t="n"/>
      <c r="S550" s="8" t="n"/>
      <c r="T550" s="8" t="n"/>
      <c r="U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7">
        <f>IF(OR(F551="",G551=""),"",(G551-F551)*1440)</f>
        <v/>
      </c>
      <c r="I551" s="8" t="n"/>
      <c r="J551" s="8" t="n"/>
      <c r="K551" s="8" t="n"/>
      <c r="L551" s="8" t="n"/>
      <c r="M551" s="8" t="n"/>
      <c r="O551" s="8" t="n"/>
      <c r="P551" s="8" t="n"/>
      <c r="Q551" s="8" t="n"/>
      <c r="R551" s="8" t="n"/>
      <c r="S551" s="8" t="n"/>
      <c r="T551" s="8" t="n"/>
      <c r="U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7">
        <f>IF(OR(F552="",G552=""),"",(G552-F552)*1440)</f>
        <v/>
      </c>
      <c r="I552" s="8" t="n"/>
      <c r="J552" s="8" t="n"/>
      <c r="K552" s="8" t="n"/>
      <c r="L552" s="8" t="n"/>
      <c r="M552" s="8" t="n"/>
      <c r="O552" s="8" t="n"/>
      <c r="P552" s="8" t="n"/>
      <c r="Q552" s="8" t="n"/>
      <c r="R552" s="8" t="n"/>
      <c r="S552" s="8" t="n"/>
      <c r="T552" s="8" t="n"/>
      <c r="U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7">
        <f>IF(OR(F553="",G553=""),"",(G553-F553)*1440)</f>
        <v/>
      </c>
      <c r="I553" s="8" t="n"/>
      <c r="J553" s="8" t="n"/>
      <c r="K553" s="8" t="n"/>
      <c r="L553" s="8" t="n"/>
      <c r="M553" s="8" t="n"/>
      <c r="O553" s="8" t="n"/>
      <c r="P553" s="8" t="n"/>
      <c r="Q553" s="8" t="n"/>
      <c r="R553" s="8" t="n"/>
      <c r="S553" s="8" t="n"/>
      <c r="T553" s="8" t="n"/>
      <c r="U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7">
        <f>IF(OR(F554="",G554=""),"",(G554-F554)*1440)</f>
        <v/>
      </c>
      <c r="I554" s="8" t="n"/>
      <c r="J554" s="8" t="n"/>
      <c r="K554" s="8" t="n"/>
      <c r="L554" s="8" t="n"/>
      <c r="M554" s="8" t="n"/>
      <c r="O554" s="8" t="n"/>
      <c r="P554" s="8" t="n"/>
      <c r="Q554" s="8" t="n"/>
      <c r="R554" s="8" t="n"/>
      <c r="S554" s="8" t="n"/>
      <c r="T554" s="8" t="n"/>
      <c r="U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7">
        <f>IF(OR(F555="",G555=""),"",(G555-F555)*1440)</f>
        <v/>
      </c>
      <c r="I555" s="8" t="n"/>
      <c r="J555" s="8" t="n"/>
      <c r="K555" s="8" t="n"/>
      <c r="L555" s="8" t="n"/>
      <c r="M555" s="8" t="n"/>
      <c r="O555" s="8" t="n"/>
      <c r="P555" s="8" t="n"/>
      <c r="Q555" s="8" t="n"/>
      <c r="R555" s="8" t="n"/>
      <c r="S555" s="8" t="n"/>
      <c r="T555" s="8" t="n"/>
      <c r="U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7">
        <f>IF(OR(F556="",G556=""),"",(G556-F556)*1440)</f>
        <v/>
      </c>
      <c r="I556" s="8" t="n"/>
      <c r="J556" s="8" t="n"/>
      <c r="K556" s="8" t="n"/>
      <c r="L556" s="8" t="n"/>
      <c r="M556" s="8" t="n"/>
      <c r="O556" s="8" t="n"/>
      <c r="P556" s="8" t="n"/>
      <c r="Q556" s="8" t="n"/>
      <c r="R556" s="8" t="n"/>
      <c r="S556" s="8" t="n"/>
      <c r="T556" s="8" t="n"/>
      <c r="U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7">
        <f>IF(OR(F557="",G557=""),"",(G557-F557)*1440)</f>
        <v/>
      </c>
      <c r="I557" s="8" t="n"/>
      <c r="J557" s="8" t="n"/>
      <c r="K557" s="8" t="n"/>
      <c r="L557" s="8" t="n"/>
      <c r="M557" s="8" t="n"/>
      <c r="O557" s="8" t="n"/>
      <c r="P557" s="8" t="n"/>
      <c r="Q557" s="8" t="n"/>
      <c r="R557" s="8" t="n"/>
      <c r="S557" s="8" t="n"/>
      <c r="T557" s="8" t="n"/>
      <c r="U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7">
        <f>IF(OR(F558="",G558=""),"",(G558-F558)*1440)</f>
        <v/>
      </c>
      <c r="I558" s="8" t="n"/>
      <c r="J558" s="8" t="n"/>
      <c r="K558" s="8" t="n"/>
      <c r="L558" s="8" t="n"/>
      <c r="M558" s="8" t="n"/>
      <c r="O558" s="8" t="n"/>
      <c r="P558" s="8" t="n"/>
      <c r="Q558" s="8" t="n"/>
      <c r="R558" s="8" t="n"/>
      <c r="S558" s="8" t="n"/>
      <c r="T558" s="8" t="n"/>
      <c r="U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7">
        <f>IF(OR(F559="",G559=""),"",(G559-F559)*1440)</f>
        <v/>
      </c>
      <c r="I559" s="8" t="n"/>
      <c r="J559" s="8" t="n"/>
      <c r="K559" s="8" t="n"/>
      <c r="L559" s="8" t="n"/>
      <c r="M559" s="8" t="n"/>
      <c r="O559" s="8" t="n"/>
      <c r="P559" s="8" t="n"/>
      <c r="Q559" s="8" t="n"/>
      <c r="R559" s="8" t="n"/>
      <c r="S559" s="8" t="n"/>
      <c r="T559" s="8" t="n"/>
      <c r="U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7">
        <f>IF(OR(F560="",G560=""),"",(G560-F560)*1440)</f>
        <v/>
      </c>
      <c r="I560" s="8" t="n"/>
      <c r="J560" s="8" t="n"/>
      <c r="K560" s="8" t="n"/>
      <c r="L560" s="8" t="n"/>
      <c r="M560" s="8" t="n"/>
      <c r="O560" s="8" t="n"/>
      <c r="P560" s="8" t="n"/>
      <c r="Q560" s="8" t="n"/>
      <c r="R560" s="8" t="n"/>
      <c r="S560" s="8" t="n"/>
      <c r="T560" s="8" t="n"/>
      <c r="U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7">
        <f>IF(OR(F561="",G561=""),"",(G561-F561)*1440)</f>
        <v/>
      </c>
      <c r="I561" s="8" t="n"/>
      <c r="J561" s="8" t="n"/>
      <c r="K561" s="8" t="n"/>
      <c r="L561" s="8" t="n"/>
      <c r="M561" s="8" t="n"/>
      <c r="O561" s="8" t="n"/>
      <c r="P561" s="8" t="n"/>
      <c r="Q561" s="8" t="n"/>
      <c r="R561" s="8" t="n"/>
      <c r="S561" s="8" t="n"/>
      <c r="T561" s="8" t="n"/>
      <c r="U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7">
        <f>IF(OR(F562="",G562=""),"",(G562-F562)*1440)</f>
        <v/>
      </c>
      <c r="I562" s="8" t="n"/>
      <c r="J562" s="8" t="n"/>
      <c r="K562" s="8" t="n"/>
      <c r="L562" s="8" t="n"/>
      <c r="M562" s="8" t="n"/>
      <c r="O562" s="8" t="n"/>
      <c r="P562" s="8" t="n"/>
      <c r="Q562" s="8" t="n"/>
      <c r="R562" s="8" t="n"/>
      <c r="S562" s="8" t="n"/>
      <c r="T562" s="8" t="n"/>
      <c r="U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7">
        <f>IF(OR(F563="",G563=""),"",(G563-F563)*1440)</f>
        <v/>
      </c>
      <c r="I563" s="8" t="n"/>
      <c r="J563" s="8" t="n"/>
      <c r="K563" s="8" t="n"/>
      <c r="L563" s="8" t="n"/>
      <c r="M563" s="8" t="n"/>
      <c r="O563" s="8" t="n"/>
      <c r="P563" s="8" t="n"/>
      <c r="Q563" s="8" t="n"/>
      <c r="R563" s="8" t="n"/>
      <c r="S563" s="8" t="n"/>
      <c r="T563" s="8" t="n"/>
      <c r="U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7">
        <f>IF(OR(F564="",G564=""),"",(G564-F564)*1440)</f>
        <v/>
      </c>
      <c r="I564" s="8" t="n"/>
      <c r="J564" s="8" t="n"/>
      <c r="K564" s="8" t="n"/>
      <c r="L564" s="8" t="n"/>
      <c r="M564" s="8" t="n"/>
      <c r="O564" s="8" t="n"/>
      <c r="P564" s="8" t="n"/>
      <c r="Q564" s="8" t="n"/>
      <c r="R564" s="8" t="n"/>
      <c r="S564" s="8" t="n"/>
      <c r="T564" s="8" t="n"/>
      <c r="U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7">
        <f>IF(OR(F565="",G565=""),"",(G565-F565)*1440)</f>
        <v/>
      </c>
      <c r="I565" s="8" t="n"/>
      <c r="J565" s="8" t="n"/>
      <c r="K565" s="8" t="n"/>
      <c r="L565" s="8" t="n"/>
      <c r="M565" s="8" t="n"/>
      <c r="O565" s="8" t="n"/>
      <c r="P565" s="8" t="n"/>
      <c r="Q565" s="8" t="n"/>
      <c r="R565" s="8" t="n"/>
      <c r="S565" s="8" t="n"/>
      <c r="T565" s="8" t="n"/>
      <c r="U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7">
        <f>IF(OR(F566="",G566=""),"",(G566-F566)*1440)</f>
        <v/>
      </c>
      <c r="I566" s="8" t="n"/>
      <c r="J566" s="8" t="n"/>
      <c r="K566" s="8" t="n"/>
      <c r="L566" s="8" t="n"/>
      <c r="M566" s="8" t="n"/>
      <c r="O566" s="8" t="n"/>
      <c r="P566" s="8" t="n"/>
      <c r="Q566" s="8" t="n"/>
      <c r="R566" s="8" t="n"/>
      <c r="S566" s="8" t="n"/>
      <c r="T566" s="8" t="n"/>
      <c r="U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7">
        <f>IF(OR(F567="",G567=""),"",(G567-F567)*1440)</f>
        <v/>
      </c>
      <c r="I567" s="8" t="n"/>
      <c r="J567" s="8" t="n"/>
      <c r="K567" s="8" t="n"/>
      <c r="L567" s="8" t="n"/>
      <c r="M567" s="8" t="n"/>
      <c r="O567" s="8" t="n"/>
      <c r="P567" s="8" t="n"/>
      <c r="Q567" s="8" t="n"/>
      <c r="R567" s="8" t="n"/>
      <c r="S567" s="8" t="n"/>
      <c r="T567" s="8" t="n"/>
      <c r="U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7">
        <f>IF(OR(F568="",G568=""),"",(G568-F568)*1440)</f>
        <v/>
      </c>
      <c r="I568" s="8" t="n"/>
      <c r="J568" s="8" t="n"/>
      <c r="K568" s="8" t="n"/>
      <c r="L568" s="8" t="n"/>
      <c r="M568" s="8" t="n"/>
      <c r="O568" s="8" t="n"/>
      <c r="P568" s="8" t="n"/>
      <c r="Q568" s="8" t="n"/>
      <c r="R568" s="8" t="n"/>
      <c r="S568" s="8" t="n"/>
      <c r="T568" s="8" t="n"/>
      <c r="U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7">
        <f>IF(OR(F569="",G569=""),"",(G569-F569)*1440)</f>
        <v/>
      </c>
      <c r="I569" s="8" t="n"/>
      <c r="J569" s="8" t="n"/>
      <c r="K569" s="8" t="n"/>
      <c r="L569" s="8" t="n"/>
      <c r="M569" s="8" t="n"/>
      <c r="O569" s="8" t="n"/>
      <c r="P569" s="8" t="n"/>
      <c r="Q569" s="8" t="n"/>
      <c r="R569" s="8" t="n"/>
      <c r="S569" s="8" t="n"/>
      <c r="T569" s="8" t="n"/>
      <c r="U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7">
        <f>IF(OR(F570="",G570=""),"",(G570-F570)*1440)</f>
        <v/>
      </c>
      <c r="I570" s="8" t="n"/>
      <c r="J570" s="8" t="n"/>
      <c r="K570" s="8" t="n"/>
      <c r="L570" s="8" t="n"/>
      <c r="M570" s="8" t="n"/>
      <c r="O570" s="8" t="n"/>
      <c r="P570" s="8" t="n"/>
      <c r="Q570" s="8" t="n"/>
      <c r="R570" s="8" t="n"/>
      <c r="S570" s="8" t="n"/>
      <c r="T570" s="8" t="n"/>
      <c r="U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7">
        <f>IF(OR(F571="",G571=""),"",(G571-F571)*1440)</f>
        <v/>
      </c>
      <c r="I571" s="8" t="n"/>
      <c r="J571" s="8" t="n"/>
      <c r="K571" s="8" t="n"/>
      <c r="L571" s="8" t="n"/>
      <c r="M571" s="8" t="n"/>
      <c r="O571" s="8" t="n"/>
      <c r="P571" s="8" t="n"/>
      <c r="Q571" s="8" t="n"/>
      <c r="R571" s="8" t="n"/>
      <c r="S571" s="8" t="n"/>
      <c r="T571" s="8" t="n"/>
      <c r="U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7">
        <f>IF(OR(F572="",G572=""),"",(G572-F572)*1440)</f>
        <v/>
      </c>
      <c r="I572" s="8" t="n"/>
      <c r="J572" s="8" t="n"/>
      <c r="K572" s="8" t="n"/>
      <c r="L572" s="8" t="n"/>
      <c r="M572" s="8" t="n"/>
      <c r="O572" s="8" t="n"/>
      <c r="P572" s="8" t="n"/>
      <c r="Q572" s="8" t="n"/>
      <c r="R572" s="8" t="n"/>
      <c r="S572" s="8" t="n"/>
      <c r="T572" s="8" t="n"/>
      <c r="U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7">
        <f>IF(OR(F573="",G573=""),"",(G573-F573)*1440)</f>
        <v/>
      </c>
      <c r="I573" s="8" t="n"/>
      <c r="J573" s="8" t="n"/>
      <c r="K573" s="8" t="n"/>
      <c r="L573" s="8" t="n"/>
      <c r="M573" s="8" t="n"/>
      <c r="O573" s="8" t="n"/>
      <c r="P573" s="8" t="n"/>
      <c r="Q573" s="8" t="n"/>
      <c r="R573" s="8" t="n"/>
      <c r="S573" s="8" t="n"/>
      <c r="T573" s="8" t="n"/>
      <c r="U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7">
        <f>IF(OR(F574="",G574=""),"",(G574-F574)*1440)</f>
        <v/>
      </c>
      <c r="I574" s="8" t="n"/>
      <c r="J574" s="8" t="n"/>
      <c r="K574" s="8" t="n"/>
      <c r="L574" s="8" t="n"/>
      <c r="M574" s="8" t="n"/>
      <c r="O574" s="8" t="n"/>
      <c r="P574" s="8" t="n"/>
      <c r="Q574" s="8" t="n"/>
      <c r="R574" s="8" t="n"/>
      <c r="S574" s="8" t="n"/>
      <c r="T574" s="8" t="n"/>
      <c r="U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7">
        <f>IF(OR(F575="",G575=""),"",(G575-F575)*1440)</f>
        <v/>
      </c>
      <c r="I575" s="8" t="n"/>
      <c r="J575" s="8" t="n"/>
      <c r="K575" s="8" t="n"/>
      <c r="L575" s="8" t="n"/>
      <c r="M575" s="8" t="n"/>
      <c r="O575" s="8" t="n"/>
      <c r="P575" s="8" t="n"/>
      <c r="Q575" s="8" t="n"/>
      <c r="R575" s="8" t="n"/>
      <c r="S575" s="8" t="n"/>
      <c r="T575" s="8" t="n"/>
      <c r="U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7">
        <f>IF(OR(F576="",G576=""),"",(G576-F576)*1440)</f>
        <v/>
      </c>
      <c r="I576" s="8" t="n"/>
      <c r="J576" s="8" t="n"/>
      <c r="K576" s="8" t="n"/>
      <c r="L576" s="8" t="n"/>
      <c r="M576" s="8" t="n"/>
      <c r="O576" s="8" t="n"/>
      <c r="P576" s="8" t="n"/>
      <c r="Q576" s="8" t="n"/>
      <c r="R576" s="8" t="n"/>
      <c r="S576" s="8" t="n"/>
      <c r="T576" s="8" t="n"/>
      <c r="U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7">
        <f>IF(OR(F577="",G577=""),"",(G577-F577)*1440)</f>
        <v/>
      </c>
      <c r="I577" s="8" t="n"/>
      <c r="J577" s="8" t="n"/>
      <c r="K577" s="8" t="n"/>
      <c r="L577" s="8" t="n"/>
      <c r="M577" s="8" t="n"/>
      <c r="O577" s="8" t="n"/>
      <c r="P577" s="8" t="n"/>
      <c r="Q577" s="8" t="n"/>
      <c r="R577" s="8" t="n"/>
      <c r="S577" s="8" t="n"/>
      <c r="T577" s="8" t="n"/>
      <c r="U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7">
        <f>IF(OR(F578="",G578=""),"",(G578-F578)*1440)</f>
        <v/>
      </c>
      <c r="I578" s="8" t="n"/>
      <c r="J578" s="8" t="n"/>
      <c r="K578" s="8" t="n"/>
      <c r="L578" s="8" t="n"/>
      <c r="M578" s="8" t="n"/>
      <c r="O578" s="8" t="n"/>
      <c r="P578" s="8" t="n"/>
      <c r="Q578" s="8" t="n"/>
      <c r="R578" s="8" t="n"/>
      <c r="S578" s="8" t="n"/>
      <c r="T578" s="8" t="n"/>
      <c r="U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7">
        <f>IF(OR(F579="",G579=""),"",(G579-F579)*1440)</f>
        <v/>
      </c>
      <c r="I579" s="8" t="n"/>
      <c r="J579" s="8" t="n"/>
      <c r="K579" s="8" t="n"/>
      <c r="L579" s="8" t="n"/>
      <c r="M579" s="8" t="n"/>
      <c r="O579" s="8" t="n"/>
      <c r="P579" s="8" t="n"/>
      <c r="Q579" s="8" t="n"/>
      <c r="R579" s="8" t="n"/>
      <c r="S579" s="8" t="n"/>
      <c r="T579" s="8" t="n"/>
      <c r="U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7">
        <f>IF(OR(F580="",G580=""),"",(G580-F580)*1440)</f>
        <v/>
      </c>
      <c r="I580" s="8" t="n"/>
      <c r="J580" s="8" t="n"/>
      <c r="K580" s="8" t="n"/>
      <c r="L580" s="8" t="n"/>
      <c r="M580" s="8" t="n"/>
      <c r="O580" s="8" t="n"/>
      <c r="P580" s="8" t="n"/>
      <c r="Q580" s="8" t="n"/>
      <c r="R580" s="8" t="n"/>
      <c r="S580" s="8" t="n"/>
      <c r="T580" s="8" t="n"/>
      <c r="U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7">
        <f>IF(OR(F581="",G581=""),"",(G581-F581)*1440)</f>
        <v/>
      </c>
      <c r="I581" s="8" t="n"/>
      <c r="J581" s="8" t="n"/>
      <c r="K581" s="8" t="n"/>
      <c r="L581" s="8" t="n"/>
      <c r="M581" s="8" t="n"/>
      <c r="O581" s="8" t="n"/>
      <c r="P581" s="8" t="n"/>
      <c r="Q581" s="8" t="n"/>
      <c r="R581" s="8" t="n"/>
      <c r="S581" s="8" t="n"/>
      <c r="T581" s="8" t="n"/>
      <c r="U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7">
        <f>IF(OR(F582="",G582=""),"",(G582-F582)*1440)</f>
        <v/>
      </c>
      <c r="I582" s="8" t="n"/>
      <c r="J582" s="8" t="n"/>
      <c r="K582" s="8" t="n"/>
      <c r="L582" s="8" t="n"/>
      <c r="M582" s="8" t="n"/>
      <c r="O582" s="8" t="n"/>
      <c r="P582" s="8" t="n"/>
      <c r="Q582" s="8" t="n"/>
      <c r="R582" s="8" t="n"/>
      <c r="S582" s="8" t="n"/>
      <c r="T582" s="8" t="n"/>
      <c r="U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7">
        <f>IF(OR(F583="",G583=""),"",(G583-F583)*1440)</f>
        <v/>
      </c>
      <c r="I583" s="8" t="n"/>
      <c r="J583" s="8" t="n"/>
      <c r="K583" s="8" t="n"/>
      <c r="L583" s="8" t="n"/>
      <c r="M583" s="8" t="n"/>
      <c r="O583" s="8" t="n"/>
      <c r="P583" s="8" t="n"/>
      <c r="Q583" s="8" t="n"/>
      <c r="R583" s="8" t="n"/>
      <c r="S583" s="8" t="n"/>
      <c r="T583" s="8" t="n"/>
      <c r="U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7">
        <f>IF(OR(F584="",G584=""),"",(G584-F584)*1440)</f>
        <v/>
      </c>
      <c r="I584" s="8" t="n"/>
      <c r="J584" s="8" t="n"/>
      <c r="K584" s="8" t="n"/>
      <c r="L584" s="8" t="n"/>
      <c r="M584" s="8" t="n"/>
      <c r="O584" s="8" t="n"/>
      <c r="P584" s="8" t="n"/>
      <c r="Q584" s="8" t="n"/>
      <c r="R584" s="8" t="n"/>
      <c r="S584" s="8" t="n"/>
      <c r="T584" s="8" t="n"/>
      <c r="U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7">
        <f>IF(OR(F585="",G585=""),"",(G585-F585)*1440)</f>
        <v/>
      </c>
      <c r="I585" s="8" t="n"/>
      <c r="J585" s="8" t="n"/>
      <c r="K585" s="8" t="n"/>
      <c r="L585" s="8" t="n"/>
      <c r="M585" s="8" t="n"/>
      <c r="O585" s="8" t="n"/>
      <c r="P585" s="8" t="n"/>
      <c r="Q585" s="8" t="n"/>
      <c r="R585" s="8" t="n"/>
      <c r="S585" s="8" t="n"/>
      <c r="T585" s="8" t="n"/>
      <c r="U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7">
        <f>IF(OR(F586="",G586=""),"",(G586-F586)*1440)</f>
        <v/>
      </c>
      <c r="I586" s="8" t="n"/>
      <c r="J586" s="8" t="n"/>
      <c r="K586" s="8" t="n"/>
      <c r="L586" s="8" t="n"/>
      <c r="M586" s="8" t="n"/>
      <c r="O586" s="8" t="n"/>
      <c r="P586" s="8" t="n"/>
      <c r="Q586" s="8" t="n"/>
      <c r="R586" s="8" t="n"/>
      <c r="S586" s="8" t="n"/>
      <c r="T586" s="8" t="n"/>
      <c r="U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7">
        <f>IF(OR(F587="",G587=""),"",(G587-F587)*1440)</f>
        <v/>
      </c>
      <c r="I587" s="8" t="n"/>
      <c r="J587" s="8" t="n"/>
      <c r="K587" s="8" t="n"/>
      <c r="L587" s="8" t="n"/>
      <c r="M587" s="8" t="n"/>
      <c r="O587" s="8" t="n"/>
      <c r="P587" s="8" t="n"/>
      <c r="Q587" s="8" t="n"/>
      <c r="R587" s="8" t="n"/>
      <c r="S587" s="8" t="n"/>
      <c r="T587" s="8" t="n"/>
      <c r="U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7">
        <f>IF(OR(F588="",G588=""),"",(G588-F588)*1440)</f>
        <v/>
      </c>
      <c r="I588" s="8" t="n"/>
      <c r="J588" s="8" t="n"/>
      <c r="K588" s="8" t="n"/>
      <c r="L588" s="8" t="n"/>
      <c r="M588" s="8" t="n"/>
      <c r="O588" s="8" t="n"/>
      <c r="P588" s="8" t="n"/>
      <c r="Q588" s="8" t="n"/>
      <c r="R588" s="8" t="n"/>
      <c r="S588" s="8" t="n"/>
      <c r="T588" s="8" t="n"/>
      <c r="U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7">
        <f>IF(OR(F589="",G589=""),"",(G589-F589)*1440)</f>
        <v/>
      </c>
      <c r="I589" s="8" t="n"/>
      <c r="J589" s="8" t="n"/>
      <c r="K589" s="8" t="n"/>
      <c r="L589" s="8" t="n"/>
      <c r="M589" s="8" t="n"/>
      <c r="O589" s="8" t="n"/>
      <c r="P589" s="8" t="n"/>
      <c r="Q589" s="8" t="n"/>
      <c r="R589" s="8" t="n"/>
      <c r="S589" s="8" t="n"/>
      <c r="T589" s="8" t="n"/>
      <c r="U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7">
        <f>IF(OR(F590="",G590=""),"",(G590-F590)*1440)</f>
        <v/>
      </c>
      <c r="I590" s="8" t="n"/>
      <c r="J590" s="8" t="n"/>
      <c r="K590" s="8" t="n"/>
      <c r="L590" s="8" t="n"/>
      <c r="M590" s="8" t="n"/>
      <c r="O590" s="8" t="n"/>
      <c r="P590" s="8" t="n"/>
      <c r="Q590" s="8" t="n"/>
      <c r="R590" s="8" t="n"/>
      <c r="S590" s="8" t="n"/>
      <c r="T590" s="8" t="n"/>
      <c r="U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7">
        <f>IF(OR(F591="",G591=""),"",(G591-F591)*1440)</f>
        <v/>
      </c>
      <c r="I591" s="8" t="n"/>
      <c r="J591" s="8" t="n"/>
      <c r="K591" s="8" t="n"/>
      <c r="L591" s="8" t="n"/>
      <c r="M591" s="8" t="n"/>
      <c r="O591" s="8" t="n"/>
      <c r="P591" s="8" t="n"/>
      <c r="Q591" s="8" t="n"/>
      <c r="R591" s="8" t="n"/>
      <c r="S591" s="8" t="n"/>
      <c r="T591" s="8" t="n"/>
      <c r="U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7">
        <f>IF(OR(F592="",G592=""),"",(G592-F592)*1440)</f>
        <v/>
      </c>
      <c r="I592" s="8" t="n"/>
      <c r="J592" s="8" t="n"/>
      <c r="K592" s="8" t="n"/>
      <c r="L592" s="8" t="n"/>
      <c r="M592" s="8" t="n"/>
      <c r="O592" s="8" t="n"/>
      <c r="P592" s="8" t="n"/>
      <c r="Q592" s="8" t="n"/>
      <c r="R592" s="8" t="n"/>
      <c r="S592" s="8" t="n"/>
      <c r="T592" s="8" t="n"/>
      <c r="U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7">
        <f>IF(OR(F593="",G593=""),"",(G593-F593)*1440)</f>
        <v/>
      </c>
      <c r="I593" s="8" t="n"/>
      <c r="J593" s="8" t="n"/>
      <c r="K593" s="8" t="n"/>
      <c r="L593" s="8" t="n"/>
      <c r="M593" s="8" t="n"/>
      <c r="O593" s="8" t="n"/>
      <c r="P593" s="8" t="n"/>
      <c r="Q593" s="8" t="n"/>
      <c r="R593" s="8" t="n"/>
      <c r="S593" s="8" t="n"/>
      <c r="T593" s="8" t="n"/>
      <c r="U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7">
        <f>IF(OR(F594="",G594=""),"",(G594-F594)*1440)</f>
        <v/>
      </c>
      <c r="I594" s="8" t="n"/>
      <c r="J594" s="8" t="n"/>
      <c r="K594" s="8" t="n"/>
      <c r="L594" s="8" t="n"/>
      <c r="M594" s="8" t="n"/>
      <c r="O594" s="8" t="n"/>
      <c r="P594" s="8" t="n"/>
      <c r="Q594" s="8" t="n"/>
      <c r="R594" s="8" t="n"/>
      <c r="S594" s="8" t="n"/>
      <c r="T594" s="8" t="n"/>
      <c r="U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7">
        <f>IF(OR(F595="",G595=""),"",(G595-F595)*1440)</f>
        <v/>
      </c>
      <c r="I595" s="8" t="n"/>
      <c r="J595" s="8" t="n"/>
      <c r="K595" s="8" t="n"/>
      <c r="L595" s="8" t="n"/>
      <c r="M595" s="8" t="n"/>
      <c r="O595" s="8" t="n"/>
      <c r="P595" s="8" t="n"/>
      <c r="Q595" s="8" t="n"/>
      <c r="R595" s="8" t="n"/>
      <c r="S595" s="8" t="n"/>
      <c r="T595" s="8" t="n"/>
      <c r="U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7">
        <f>IF(OR(F596="",G596=""),"",(G596-F596)*1440)</f>
        <v/>
      </c>
      <c r="I596" s="8" t="n"/>
      <c r="J596" s="8" t="n"/>
      <c r="K596" s="8" t="n"/>
      <c r="L596" s="8" t="n"/>
      <c r="M596" s="8" t="n"/>
      <c r="O596" s="8" t="n"/>
      <c r="P596" s="8" t="n"/>
      <c r="Q596" s="8" t="n"/>
      <c r="R596" s="8" t="n"/>
      <c r="S596" s="8" t="n"/>
      <c r="T596" s="8" t="n"/>
      <c r="U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7">
        <f>IF(OR(F597="",G597=""),"",(G597-F597)*1440)</f>
        <v/>
      </c>
      <c r="I597" s="8" t="n"/>
      <c r="J597" s="8" t="n"/>
      <c r="K597" s="8" t="n"/>
      <c r="L597" s="8" t="n"/>
      <c r="M597" s="8" t="n"/>
      <c r="O597" s="8" t="n"/>
      <c r="P597" s="8" t="n"/>
      <c r="Q597" s="8" t="n"/>
      <c r="R597" s="8" t="n"/>
      <c r="S597" s="8" t="n"/>
      <c r="T597" s="8" t="n"/>
      <c r="U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7">
        <f>IF(OR(F598="",G598=""),"",(G598-F598)*1440)</f>
        <v/>
      </c>
      <c r="I598" s="8" t="n"/>
      <c r="J598" s="8" t="n"/>
      <c r="K598" s="8" t="n"/>
      <c r="L598" s="8" t="n"/>
      <c r="M598" s="8" t="n"/>
      <c r="O598" s="8" t="n"/>
      <c r="P598" s="8" t="n"/>
      <c r="Q598" s="8" t="n"/>
      <c r="R598" s="8" t="n"/>
      <c r="S598" s="8" t="n"/>
      <c r="T598" s="8" t="n"/>
      <c r="U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7">
        <f>IF(OR(F599="",G599=""),"",(G599-F599)*1440)</f>
        <v/>
      </c>
      <c r="I599" s="8" t="n"/>
      <c r="J599" s="8" t="n"/>
      <c r="K599" s="8" t="n"/>
      <c r="L599" s="8" t="n"/>
      <c r="M599" s="8" t="n"/>
      <c r="O599" s="8" t="n"/>
      <c r="P599" s="8" t="n"/>
      <c r="Q599" s="8" t="n"/>
      <c r="R599" s="8" t="n"/>
      <c r="S599" s="8" t="n"/>
      <c r="T599" s="8" t="n"/>
      <c r="U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7">
        <f>IF(OR(F600="",G600=""),"",(G600-F600)*1440)</f>
        <v/>
      </c>
      <c r="I600" s="8" t="n"/>
      <c r="J600" s="8" t="n"/>
      <c r="K600" s="8" t="n"/>
      <c r="L600" s="8" t="n"/>
      <c r="M600" s="8" t="n"/>
      <c r="O600" s="8" t="n"/>
      <c r="P600" s="8" t="n"/>
      <c r="Q600" s="8" t="n"/>
      <c r="R600" s="8" t="n"/>
      <c r="S600" s="8" t="n"/>
      <c r="T600" s="8" t="n"/>
      <c r="U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7">
        <f>IF(OR(F601="",G601=""),"",(G601-F601)*1440)</f>
        <v/>
      </c>
      <c r="I601" s="8" t="n"/>
      <c r="J601" s="8" t="n"/>
      <c r="K601" s="8" t="n"/>
      <c r="L601" s="8" t="n"/>
      <c r="M601" s="8" t="n"/>
      <c r="O601" s="8" t="n"/>
      <c r="P601" s="8" t="n"/>
      <c r="Q601" s="8" t="n"/>
      <c r="R601" s="8" t="n"/>
      <c r="S601" s="8" t="n"/>
      <c r="T601" s="8" t="n"/>
      <c r="U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7">
        <f>IF(OR(F602="",G602=""),"",(G602-F602)*1440)</f>
        <v/>
      </c>
      <c r="I602" s="8" t="n"/>
      <c r="J602" s="8" t="n"/>
      <c r="K602" s="8" t="n"/>
      <c r="L602" s="8" t="n"/>
      <c r="M602" s="8" t="n"/>
      <c r="O602" s="8" t="n"/>
      <c r="P602" s="8" t="n"/>
      <c r="Q602" s="8" t="n"/>
      <c r="R602" s="8" t="n"/>
      <c r="S602" s="8" t="n"/>
      <c r="T602" s="8" t="n"/>
      <c r="U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7">
        <f>IF(OR(F603="",G603=""),"",(G603-F603)*1440)</f>
        <v/>
      </c>
      <c r="I603" s="8" t="n"/>
      <c r="J603" s="8" t="n"/>
      <c r="K603" s="8" t="n"/>
      <c r="L603" s="8" t="n"/>
      <c r="M603" s="8" t="n"/>
      <c r="O603" s="8" t="n"/>
      <c r="P603" s="8" t="n"/>
      <c r="Q603" s="8" t="n"/>
      <c r="R603" s="8" t="n"/>
      <c r="S603" s="8" t="n"/>
      <c r="T603" s="8" t="n"/>
      <c r="U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7">
        <f>IF(OR(F604="",G604=""),"",(G604-F604)*1440)</f>
        <v/>
      </c>
      <c r="I604" s="8" t="n"/>
      <c r="J604" s="8" t="n"/>
      <c r="K604" s="8" t="n"/>
      <c r="L604" s="8" t="n"/>
      <c r="M604" s="8" t="n"/>
      <c r="O604" s="8" t="n"/>
      <c r="P604" s="8" t="n"/>
      <c r="Q604" s="8" t="n"/>
      <c r="R604" s="8" t="n"/>
      <c r="S604" s="8" t="n"/>
      <c r="T604" s="8" t="n"/>
      <c r="U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7">
        <f>IF(OR(F605="",G605=""),"",(G605-F605)*1440)</f>
        <v/>
      </c>
      <c r="I605" s="8" t="n"/>
      <c r="J605" s="8" t="n"/>
      <c r="K605" s="8" t="n"/>
      <c r="L605" s="8" t="n"/>
      <c r="M605" s="8" t="n"/>
      <c r="O605" s="8" t="n"/>
      <c r="P605" s="8" t="n"/>
      <c r="Q605" s="8" t="n"/>
      <c r="R605" s="8" t="n"/>
      <c r="S605" s="8" t="n"/>
      <c r="T605" s="8" t="n"/>
      <c r="U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7">
        <f>IF(OR(F606="",G606=""),"",(G606-F606)*1440)</f>
        <v/>
      </c>
      <c r="I606" s="8" t="n"/>
      <c r="J606" s="8" t="n"/>
      <c r="K606" s="8" t="n"/>
      <c r="L606" s="8" t="n"/>
      <c r="M606" s="8" t="n"/>
      <c r="O606" s="8" t="n"/>
      <c r="P606" s="8" t="n"/>
      <c r="Q606" s="8" t="n"/>
      <c r="R606" s="8" t="n"/>
      <c r="S606" s="8" t="n"/>
      <c r="T606" s="8" t="n"/>
      <c r="U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7">
        <f>IF(OR(F607="",G607=""),"",(G607-F607)*1440)</f>
        <v/>
      </c>
      <c r="I607" s="8" t="n"/>
      <c r="J607" s="8" t="n"/>
      <c r="K607" s="8" t="n"/>
      <c r="L607" s="8" t="n"/>
      <c r="M607" s="8" t="n"/>
      <c r="O607" s="8" t="n"/>
      <c r="P607" s="8" t="n"/>
      <c r="Q607" s="8" t="n"/>
      <c r="R607" s="8" t="n"/>
      <c r="S607" s="8" t="n"/>
      <c r="T607" s="8" t="n"/>
      <c r="U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7">
        <f>IF(OR(F608="",G608=""),"",(G608-F608)*1440)</f>
        <v/>
      </c>
      <c r="I608" s="8" t="n"/>
      <c r="J608" s="8" t="n"/>
      <c r="K608" s="8" t="n"/>
      <c r="L608" s="8" t="n"/>
      <c r="M608" s="8" t="n"/>
      <c r="O608" s="8" t="n"/>
      <c r="P608" s="8" t="n"/>
      <c r="Q608" s="8" t="n"/>
      <c r="R608" s="8" t="n"/>
      <c r="S608" s="8" t="n"/>
      <c r="T608" s="8" t="n"/>
      <c r="U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7">
        <f>IF(OR(F609="",G609=""),"",(G609-F609)*1440)</f>
        <v/>
      </c>
      <c r="I609" s="8" t="n"/>
      <c r="J609" s="8" t="n"/>
      <c r="K609" s="8" t="n"/>
      <c r="L609" s="8" t="n"/>
      <c r="M609" s="8" t="n"/>
      <c r="O609" s="8" t="n"/>
      <c r="P609" s="8" t="n"/>
      <c r="Q609" s="8" t="n"/>
      <c r="R609" s="8" t="n"/>
      <c r="S609" s="8" t="n"/>
      <c r="T609" s="8" t="n"/>
      <c r="U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7">
        <f>IF(OR(F610="",G610=""),"",(G610-F610)*1440)</f>
        <v/>
      </c>
      <c r="I610" s="8" t="n"/>
      <c r="J610" s="8" t="n"/>
      <c r="K610" s="8" t="n"/>
      <c r="L610" s="8" t="n"/>
      <c r="M610" s="8" t="n"/>
      <c r="O610" s="8" t="n"/>
      <c r="P610" s="8" t="n"/>
      <c r="Q610" s="8" t="n"/>
      <c r="R610" s="8" t="n"/>
      <c r="S610" s="8" t="n"/>
      <c r="T610" s="8" t="n"/>
      <c r="U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7">
        <f>IF(OR(F611="",G611=""),"",(G611-F611)*1440)</f>
        <v/>
      </c>
      <c r="I611" s="8" t="n"/>
      <c r="J611" s="8" t="n"/>
      <c r="K611" s="8" t="n"/>
      <c r="L611" s="8" t="n"/>
      <c r="M611" s="8" t="n"/>
      <c r="O611" s="8" t="n"/>
      <c r="P611" s="8" t="n"/>
      <c r="Q611" s="8" t="n"/>
      <c r="R611" s="8" t="n"/>
      <c r="S611" s="8" t="n"/>
      <c r="T611" s="8" t="n"/>
      <c r="U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7">
        <f>IF(OR(F612="",G612=""),"",(G612-F612)*1440)</f>
        <v/>
      </c>
      <c r="I612" s="8" t="n"/>
      <c r="J612" s="8" t="n"/>
      <c r="K612" s="8" t="n"/>
      <c r="L612" s="8" t="n"/>
      <c r="M612" s="8" t="n"/>
      <c r="O612" s="8" t="n"/>
      <c r="P612" s="8" t="n"/>
      <c r="Q612" s="8" t="n"/>
      <c r="R612" s="8" t="n"/>
      <c r="S612" s="8" t="n"/>
      <c r="T612" s="8" t="n"/>
      <c r="U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7">
        <f>IF(OR(F613="",G613=""),"",(G613-F613)*1440)</f>
        <v/>
      </c>
      <c r="I613" s="8" t="n"/>
      <c r="J613" s="8" t="n"/>
      <c r="K613" s="8" t="n"/>
      <c r="L613" s="8" t="n"/>
      <c r="M613" s="8" t="n"/>
      <c r="O613" s="8" t="n"/>
      <c r="P613" s="8" t="n"/>
      <c r="Q613" s="8" t="n"/>
      <c r="R613" s="8" t="n"/>
      <c r="S613" s="8" t="n"/>
      <c r="T613" s="8" t="n"/>
      <c r="U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7">
        <f>IF(OR(F614="",G614=""),"",(G614-F614)*1440)</f>
        <v/>
      </c>
      <c r="I614" s="8" t="n"/>
      <c r="J614" s="8" t="n"/>
      <c r="K614" s="8" t="n"/>
      <c r="L614" s="8" t="n"/>
      <c r="M614" s="8" t="n"/>
      <c r="O614" s="8" t="n"/>
      <c r="P614" s="8" t="n"/>
      <c r="Q614" s="8" t="n"/>
      <c r="R614" s="8" t="n"/>
      <c r="S614" s="8" t="n"/>
      <c r="T614" s="8" t="n"/>
      <c r="U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7">
        <f>IF(OR(F615="",G615=""),"",(G615-F615)*1440)</f>
        <v/>
      </c>
      <c r="I615" s="8" t="n"/>
      <c r="J615" s="8" t="n"/>
      <c r="K615" s="8" t="n"/>
      <c r="L615" s="8" t="n"/>
      <c r="M615" s="8" t="n"/>
      <c r="O615" s="8" t="n"/>
      <c r="P615" s="8" t="n"/>
      <c r="Q615" s="8" t="n"/>
      <c r="R615" s="8" t="n"/>
      <c r="S615" s="8" t="n"/>
      <c r="T615" s="8" t="n"/>
      <c r="U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7">
        <f>IF(OR(F616="",G616=""),"",(G616-F616)*1440)</f>
        <v/>
      </c>
      <c r="I616" s="8" t="n"/>
      <c r="J616" s="8" t="n"/>
      <c r="K616" s="8" t="n"/>
      <c r="L616" s="8" t="n"/>
      <c r="M616" s="8" t="n"/>
      <c r="O616" s="8" t="n"/>
      <c r="P616" s="8" t="n"/>
      <c r="Q616" s="8" t="n"/>
      <c r="R616" s="8" t="n"/>
      <c r="S616" s="8" t="n"/>
      <c r="T616" s="8" t="n"/>
      <c r="U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7">
        <f>IF(OR(F617="",G617=""),"",(G617-F617)*1440)</f>
        <v/>
      </c>
      <c r="I617" s="8" t="n"/>
      <c r="J617" s="8" t="n"/>
      <c r="K617" s="8" t="n"/>
      <c r="L617" s="8" t="n"/>
      <c r="M617" s="8" t="n"/>
      <c r="O617" s="8" t="n"/>
      <c r="P617" s="8" t="n"/>
      <c r="Q617" s="8" t="n"/>
      <c r="R617" s="8" t="n"/>
      <c r="S617" s="8" t="n"/>
      <c r="T617" s="8" t="n"/>
      <c r="U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7">
        <f>IF(OR(F618="",G618=""),"",(G618-F618)*1440)</f>
        <v/>
      </c>
      <c r="I618" s="8" t="n"/>
      <c r="J618" s="8" t="n"/>
      <c r="K618" s="8" t="n"/>
      <c r="L618" s="8" t="n"/>
      <c r="M618" s="8" t="n"/>
      <c r="O618" s="8" t="n"/>
      <c r="P618" s="8" t="n"/>
      <c r="Q618" s="8" t="n"/>
      <c r="R618" s="8" t="n"/>
      <c r="S618" s="8" t="n"/>
      <c r="T618" s="8" t="n"/>
      <c r="U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7">
        <f>IF(OR(F619="",G619=""),"",(G619-F619)*1440)</f>
        <v/>
      </c>
      <c r="I619" s="8" t="n"/>
      <c r="J619" s="8" t="n"/>
      <c r="K619" s="8" t="n"/>
      <c r="L619" s="8" t="n"/>
      <c r="M619" s="8" t="n"/>
      <c r="O619" s="8" t="n"/>
      <c r="P619" s="8" t="n"/>
      <c r="Q619" s="8" t="n"/>
      <c r="R619" s="8" t="n"/>
      <c r="S619" s="8" t="n"/>
      <c r="T619" s="8" t="n"/>
      <c r="U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7">
        <f>IF(OR(F620="",G620=""),"",(G620-F620)*1440)</f>
        <v/>
      </c>
      <c r="I620" s="8" t="n"/>
      <c r="J620" s="8" t="n"/>
      <c r="K620" s="8" t="n"/>
      <c r="L620" s="8" t="n"/>
      <c r="M620" s="8" t="n"/>
      <c r="O620" s="8" t="n"/>
      <c r="P620" s="8" t="n"/>
      <c r="Q620" s="8" t="n"/>
      <c r="R620" s="8" t="n"/>
      <c r="S620" s="8" t="n"/>
      <c r="T620" s="8" t="n"/>
      <c r="U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7">
        <f>IF(OR(F621="",G621=""),"",(G621-F621)*1440)</f>
        <v/>
      </c>
      <c r="I621" s="8" t="n"/>
      <c r="J621" s="8" t="n"/>
      <c r="K621" s="8" t="n"/>
      <c r="L621" s="8" t="n"/>
      <c r="M621" s="8" t="n"/>
      <c r="O621" s="8" t="n"/>
      <c r="P621" s="8" t="n"/>
      <c r="Q621" s="8" t="n"/>
      <c r="R621" s="8" t="n"/>
      <c r="S621" s="8" t="n"/>
      <c r="T621" s="8" t="n"/>
      <c r="U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7">
        <f>IF(OR(F622="",G622=""),"",(G622-F622)*1440)</f>
        <v/>
      </c>
      <c r="I622" s="8" t="n"/>
      <c r="J622" s="8" t="n"/>
      <c r="K622" s="8" t="n"/>
      <c r="L622" s="8" t="n"/>
      <c r="M622" s="8" t="n"/>
      <c r="O622" s="8" t="n"/>
      <c r="P622" s="8" t="n"/>
      <c r="Q622" s="8" t="n"/>
      <c r="R622" s="8" t="n"/>
      <c r="S622" s="8" t="n"/>
      <c r="T622" s="8" t="n"/>
      <c r="U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7">
        <f>IF(OR(F623="",G623=""),"",(G623-F623)*1440)</f>
        <v/>
      </c>
      <c r="I623" s="8" t="n"/>
      <c r="J623" s="8" t="n"/>
      <c r="K623" s="8" t="n"/>
      <c r="L623" s="8" t="n"/>
      <c r="M623" s="8" t="n"/>
      <c r="O623" s="8" t="n"/>
      <c r="P623" s="8" t="n"/>
      <c r="Q623" s="8" t="n"/>
      <c r="R623" s="8" t="n"/>
      <c r="S623" s="8" t="n"/>
      <c r="T623" s="8" t="n"/>
      <c r="U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7">
        <f>IF(OR(F624="",G624=""),"",(G624-F624)*1440)</f>
        <v/>
      </c>
      <c r="I624" s="8" t="n"/>
      <c r="J624" s="8" t="n"/>
      <c r="K624" s="8" t="n"/>
      <c r="L624" s="8" t="n"/>
      <c r="M624" s="8" t="n"/>
      <c r="O624" s="8" t="n"/>
      <c r="P624" s="8" t="n"/>
      <c r="Q624" s="8" t="n"/>
      <c r="R624" s="8" t="n"/>
      <c r="S624" s="8" t="n"/>
      <c r="T624" s="8" t="n"/>
      <c r="U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7">
        <f>IF(OR(F625="",G625=""),"",(G625-F625)*1440)</f>
        <v/>
      </c>
      <c r="I625" s="8" t="n"/>
      <c r="J625" s="8" t="n"/>
      <c r="K625" s="8" t="n"/>
      <c r="L625" s="8" t="n"/>
      <c r="M625" s="8" t="n"/>
      <c r="O625" s="8" t="n"/>
      <c r="P625" s="8" t="n"/>
      <c r="Q625" s="8" t="n"/>
      <c r="R625" s="8" t="n"/>
      <c r="S625" s="8" t="n"/>
      <c r="T625" s="8" t="n"/>
      <c r="U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7">
        <f>IF(OR(F626="",G626=""),"",(G626-F626)*1440)</f>
        <v/>
      </c>
      <c r="I626" s="8" t="n"/>
      <c r="J626" s="8" t="n"/>
      <c r="K626" s="8" t="n"/>
      <c r="L626" s="8" t="n"/>
      <c r="M626" s="8" t="n"/>
      <c r="O626" s="8" t="n"/>
      <c r="P626" s="8" t="n"/>
      <c r="Q626" s="8" t="n"/>
      <c r="R626" s="8" t="n"/>
      <c r="S626" s="8" t="n"/>
      <c r="T626" s="8" t="n"/>
      <c r="U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7">
        <f>IF(OR(F627="",G627=""),"",(G627-F627)*1440)</f>
        <v/>
      </c>
      <c r="I627" s="8" t="n"/>
      <c r="J627" s="8" t="n"/>
      <c r="K627" s="8" t="n"/>
      <c r="L627" s="8" t="n"/>
      <c r="M627" s="8" t="n"/>
      <c r="O627" s="8" t="n"/>
      <c r="P627" s="8" t="n"/>
      <c r="Q627" s="8" t="n"/>
      <c r="R627" s="8" t="n"/>
      <c r="S627" s="8" t="n"/>
      <c r="T627" s="8" t="n"/>
      <c r="U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7">
        <f>IF(OR(F628="",G628=""),"",(G628-F628)*1440)</f>
        <v/>
      </c>
      <c r="I628" s="8" t="n"/>
      <c r="J628" s="8" t="n"/>
      <c r="K628" s="8" t="n"/>
      <c r="L628" s="8" t="n"/>
      <c r="M628" s="8" t="n"/>
      <c r="O628" s="8" t="n"/>
      <c r="P628" s="8" t="n"/>
      <c r="Q628" s="8" t="n"/>
      <c r="R628" s="8" t="n"/>
      <c r="S628" s="8" t="n"/>
      <c r="T628" s="8" t="n"/>
      <c r="U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7">
        <f>IF(OR(F629="",G629=""),"",(G629-F629)*1440)</f>
        <v/>
      </c>
      <c r="I629" s="8" t="n"/>
      <c r="J629" s="8" t="n"/>
      <c r="K629" s="8" t="n"/>
      <c r="L629" s="8" t="n"/>
      <c r="M629" s="8" t="n"/>
      <c r="O629" s="8" t="n"/>
      <c r="P629" s="8" t="n"/>
      <c r="Q629" s="8" t="n"/>
      <c r="R629" s="8" t="n"/>
      <c r="S629" s="8" t="n"/>
      <c r="T629" s="8" t="n"/>
      <c r="U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7">
        <f>IF(OR(F630="",G630=""),"",(G630-F630)*1440)</f>
        <v/>
      </c>
      <c r="I630" s="8" t="n"/>
      <c r="J630" s="8" t="n"/>
      <c r="K630" s="8" t="n"/>
      <c r="L630" s="8" t="n"/>
      <c r="M630" s="8" t="n"/>
      <c r="O630" s="8" t="n"/>
      <c r="P630" s="8" t="n"/>
      <c r="Q630" s="8" t="n"/>
      <c r="R630" s="8" t="n"/>
      <c r="S630" s="8" t="n"/>
      <c r="T630" s="8" t="n"/>
      <c r="U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7">
        <f>IF(OR(F631="",G631=""),"",(G631-F631)*1440)</f>
        <v/>
      </c>
      <c r="I631" s="8" t="n"/>
      <c r="J631" s="8" t="n"/>
      <c r="K631" s="8" t="n"/>
      <c r="L631" s="8" t="n"/>
      <c r="M631" s="8" t="n"/>
      <c r="O631" s="8" t="n"/>
      <c r="P631" s="8" t="n"/>
      <c r="Q631" s="8" t="n"/>
      <c r="R631" s="8" t="n"/>
      <c r="S631" s="8" t="n"/>
      <c r="T631" s="8" t="n"/>
      <c r="U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7">
        <f>IF(OR(F632="",G632=""),"",(G632-F632)*1440)</f>
        <v/>
      </c>
      <c r="I632" s="8" t="n"/>
      <c r="J632" s="8" t="n"/>
      <c r="K632" s="8" t="n"/>
      <c r="L632" s="8" t="n"/>
      <c r="M632" s="8" t="n"/>
      <c r="O632" s="8" t="n"/>
      <c r="P632" s="8" t="n"/>
      <c r="Q632" s="8" t="n"/>
      <c r="R632" s="8" t="n"/>
      <c r="S632" s="8" t="n"/>
      <c r="T632" s="8" t="n"/>
      <c r="U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7">
        <f>IF(OR(F633="",G633=""),"",(G633-F633)*1440)</f>
        <v/>
      </c>
      <c r="I633" s="8" t="n"/>
      <c r="J633" s="8" t="n"/>
      <c r="K633" s="8" t="n"/>
      <c r="L633" s="8" t="n"/>
      <c r="M633" s="8" t="n"/>
      <c r="O633" s="8" t="n"/>
      <c r="P633" s="8" t="n"/>
      <c r="Q633" s="8" t="n"/>
      <c r="R633" s="8" t="n"/>
      <c r="S633" s="8" t="n"/>
      <c r="T633" s="8" t="n"/>
      <c r="U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7">
        <f>IF(OR(F634="",G634=""),"",(G634-F634)*1440)</f>
        <v/>
      </c>
      <c r="I634" s="8" t="n"/>
      <c r="J634" s="8" t="n"/>
      <c r="K634" s="8" t="n"/>
      <c r="L634" s="8" t="n"/>
      <c r="M634" s="8" t="n"/>
      <c r="O634" s="8" t="n"/>
      <c r="P634" s="8" t="n"/>
      <c r="Q634" s="8" t="n"/>
      <c r="R634" s="8" t="n"/>
      <c r="S634" s="8" t="n"/>
      <c r="T634" s="8" t="n"/>
      <c r="U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7">
        <f>IF(OR(F635="",G635=""),"",(G635-F635)*1440)</f>
        <v/>
      </c>
      <c r="I635" s="8" t="n"/>
      <c r="J635" s="8" t="n"/>
      <c r="K635" s="8" t="n"/>
      <c r="L635" s="8" t="n"/>
      <c r="M635" s="8" t="n"/>
      <c r="O635" s="8" t="n"/>
      <c r="P635" s="8" t="n"/>
      <c r="Q635" s="8" t="n"/>
      <c r="R635" s="8" t="n"/>
      <c r="S635" s="8" t="n"/>
      <c r="T635" s="8" t="n"/>
      <c r="U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7">
        <f>IF(OR(F636="",G636=""),"",(G636-F636)*1440)</f>
        <v/>
      </c>
      <c r="I636" s="8" t="n"/>
      <c r="J636" s="8" t="n"/>
      <c r="K636" s="8" t="n"/>
      <c r="L636" s="8" t="n"/>
      <c r="M636" s="8" t="n"/>
      <c r="O636" s="8" t="n"/>
      <c r="P636" s="8" t="n"/>
      <c r="Q636" s="8" t="n"/>
      <c r="R636" s="8" t="n"/>
      <c r="S636" s="8" t="n"/>
      <c r="T636" s="8" t="n"/>
      <c r="U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7">
        <f>IF(OR(F637="",G637=""),"",(G637-F637)*1440)</f>
        <v/>
      </c>
      <c r="I637" s="8" t="n"/>
      <c r="J637" s="8" t="n"/>
      <c r="K637" s="8" t="n"/>
      <c r="L637" s="8" t="n"/>
      <c r="M637" s="8" t="n"/>
      <c r="O637" s="8" t="n"/>
      <c r="P637" s="8" t="n"/>
      <c r="Q637" s="8" t="n"/>
      <c r="R637" s="8" t="n"/>
      <c r="S637" s="8" t="n"/>
      <c r="T637" s="8" t="n"/>
      <c r="U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7">
        <f>IF(OR(F638="",G638=""),"",(G638-F638)*1440)</f>
        <v/>
      </c>
      <c r="I638" s="8" t="n"/>
      <c r="J638" s="8" t="n"/>
      <c r="K638" s="8" t="n"/>
      <c r="L638" s="8" t="n"/>
      <c r="M638" s="8" t="n"/>
      <c r="O638" s="8" t="n"/>
      <c r="P638" s="8" t="n"/>
      <c r="Q638" s="8" t="n"/>
      <c r="R638" s="8" t="n"/>
      <c r="S638" s="8" t="n"/>
      <c r="T638" s="8" t="n"/>
      <c r="U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7">
        <f>IF(OR(F639="",G639=""),"",(G639-F639)*1440)</f>
        <v/>
      </c>
      <c r="I639" s="8" t="n"/>
      <c r="J639" s="8" t="n"/>
      <c r="K639" s="8" t="n"/>
      <c r="L639" s="8" t="n"/>
      <c r="M639" s="8" t="n"/>
      <c r="O639" s="8" t="n"/>
      <c r="P639" s="8" t="n"/>
      <c r="Q639" s="8" t="n"/>
      <c r="R639" s="8" t="n"/>
      <c r="S639" s="8" t="n"/>
      <c r="T639" s="8" t="n"/>
      <c r="U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7">
        <f>IF(OR(F640="",G640=""),"",(G640-F640)*1440)</f>
        <v/>
      </c>
      <c r="I640" s="8" t="n"/>
      <c r="J640" s="8" t="n"/>
      <c r="K640" s="8" t="n"/>
      <c r="L640" s="8" t="n"/>
      <c r="M640" s="8" t="n"/>
      <c r="O640" s="8" t="n"/>
      <c r="P640" s="8" t="n"/>
      <c r="Q640" s="8" t="n"/>
      <c r="R640" s="8" t="n"/>
      <c r="S640" s="8" t="n"/>
      <c r="T640" s="8" t="n"/>
      <c r="U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7">
        <f>IF(OR(F641="",G641=""),"",(G641-F641)*1440)</f>
        <v/>
      </c>
      <c r="I641" s="8" t="n"/>
      <c r="J641" s="8" t="n"/>
      <c r="K641" s="8" t="n"/>
      <c r="L641" s="8" t="n"/>
      <c r="M641" s="8" t="n"/>
      <c r="O641" s="8" t="n"/>
      <c r="P641" s="8" t="n"/>
      <c r="Q641" s="8" t="n"/>
      <c r="R641" s="8" t="n"/>
      <c r="S641" s="8" t="n"/>
      <c r="T641" s="8" t="n"/>
      <c r="U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7">
        <f>IF(OR(F642="",G642=""),"",(G642-F642)*1440)</f>
        <v/>
      </c>
      <c r="I642" s="8" t="n"/>
      <c r="J642" s="8" t="n"/>
      <c r="K642" s="8" t="n"/>
      <c r="L642" s="8" t="n"/>
      <c r="M642" s="8" t="n"/>
      <c r="O642" s="8" t="n"/>
      <c r="P642" s="8" t="n"/>
      <c r="Q642" s="8" t="n"/>
      <c r="R642" s="8" t="n"/>
      <c r="S642" s="8" t="n"/>
      <c r="T642" s="8" t="n"/>
      <c r="U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7">
        <f>IF(OR(F643="",G643=""),"",(G643-F643)*1440)</f>
        <v/>
      </c>
      <c r="I643" s="8" t="n"/>
      <c r="J643" s="8" t="n"/>
      <c r="K643" s="8" t="n"/>
      <c r="L643" s="8" t="n"/>
      <c r="M643" s="8" t="n"/>
      <c r="O643" s="8" t="n"/>
      <c r="P643" s="8" t="n"/>
      <c r="Q643" s="8" t="n"/>
      <c r="R643" s="8" t="n"/>
      <c r="S643" s="8" t="n"/>
      <c r="T643" s="8" t="n"/>
      <c r="U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7">
        <f>IF(OR(F644="",G644=""),"",(G644-F644)*1440)</f>
        <v/>
      </c>
      <c r="I644" s="8" t="n"/>
      <c r="J644" s="8" t="n"/>
      <c r="K644" s="8" t="n"/>
      <c r="L644" s="8" t="n"/>
      <c r="M644" s="8" t="n"/>
      <c r="O644" s="8" t="n"/>
      <c r="P644" s="8" t="n"/>
      <c r="Q644" s="8" t="n"/>
      <c r="R644" s="8" t="n"/>
      <c r="S644" s="8" t="n"/>
      <c r="T644" s="8" t="n"/>
      <c r="U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7">
        <f>IF(OR(F645="",G645=""),"",(G645-F645)*1440)</f>
        <v/>
      </c>
      <c r="I645" s="8" t="n"/>
      <c r="J645" s="8" t="n"/>
      <c r="K645" s="8" t="n"/>
      <c r="L645" s="8" t="n"/>
      <c r="M645" s="8" t="n"/>
      <c r="O645" s="8" t="n"/>
      <c r="P645" s="8" t="n"/>
      <c r="Q645" s="8" t="n"/>
      <c r="R645" s="8" t="n"/>
      <c r="S645" s="8" t="n"/>
      <c r="T645" s="8" t="n"/>
      <c r="U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7">
        <f>IF(OR(F646="",G646=""),"",(G646-F646)*1440)</f>
        <v/>
      </c>
      <c r="I646" s="8" t="n"/>
      <c r="J646" s="8" t="n"/>
      <c r="K646" s="8" t="n"/>
      <c r="L646" s="8" t="n"/>
      <c r="M646" s="8" t="n"/>
      <c r="O646" s="8" t="n"/>
      <c r="P646" s="8" t="n"/>
      <c r="Q646" s="8" t="n"/>
      <c r="R646" s="8" t="n"/>
      <c r="S646" s="8" t="n"/>
      <c r="T646" s="8" t="n"/>
      <c r="U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7">
        <f>IF(OR(F647="",G647=""),"",(G647-F647)*1440)</f>
        <v/>
      </c>
      <c r="I647" s="8" t="n"/>
      <c r="J647" s="8" t="n"/>
      <c r="K647" s="8" t="n"/>
      <c r="L647" s="8" t="n"/>
      <c r="M647" s="8" t="n"/>
      <c r="O647" s="8" t="n"/>
      <c r="P647" s="8" t="n"/>
      <c r="Q647" s="8" t="n"/>
      <c r="R647" s="8" t="n"/>
      <c r="S647" s="8" t="n"/>
      <c r="T647" s="8" t="n"/>
      <c r="U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7">
        <f>IF(OR(F648="",G648=""),"",(G648-F648)*1440)</f>
        <v/>
      </c>
      <c r="I648" s="8" t="n"/>
      <c r="J648" s="8" t="n"/>
      <c r="K648" s="8" t="n"/>
      <c r="L648" s="8" t="n"/>
      <c r="M648" s="8" t="n"/>
      <c r="O648" s="8" t="n"/>
      <c r="P648" s="8" t="n"/>
      <c r="Q648" s="8" t="n"/>
      <c r="R648" s="8" t="n"/>
      <c r="S648" s="8" t="n"/>
      <c r="T648" s="8" t="n"/>
      <c r="U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7">
        <f>IF(OR(F649="",G649=""),"",(G649-F649)*1440)</f>
        <v/>
      </c>
      <c r="I649" s="8" t="n"/>
      <c r="J649" s="8" t="n"/>
      <c r="K649" s="8" t="n"/>
      <c r="L649" s="8" t="n"/>
      <c r="M649" s="8" t="n"/>
      <c r="O649" s="8" t="n"/>
      <c r="P649" s="8" t="n"/>
      <c r="Q649" s="8" t="n"/>
      <c r="R649" s="8" t="n"/>
      <c r="S649" s="8" t="n"/>
      <c r="T649" s="8" t="n"/>
      <c r="U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7">
        <f>IF(OR(F650="",G650=""),"",(G650-F650)*1440)</f>
        <v/>
      </c>
      <c r="I650" s="8" t="n"/>
      <c r="J650" s="8" t="n"/>
      <c r="K650" s="8" t="n"/>
      <c r="L650" s="8" t="n"/>
      <c r="M650" s="8" t="n"/>
      <c r="O650" s="8" t="n"/>
      <c r="P650" s="8" t="n"/>
      <c r="Q650" s="8" t="n"/>
      <c r="R650" s="8" t="n"/>
      <c r="S650" s="8" t="n"/>
      <c r="T650" s="8" t="n"/>
      <c r="U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7">
        <f>IF(OR(F651="",G651=""),"",(G651-F651)*1440)</f>
        <v/>
      </c>
      <c r="I651" s="8" t="n"/>
      <c r="J651" s="8" t="n"/>
      <c r="K651" s="8" t="n"/>
      <c r="L651" s="8" t="n"/>
      <c r="M651" s="8" t="n"/>
      <c r="O651" s="8" t="n"/>
      <c r="P651" s="8" t="n"/>
      <c r="Q651" s="8" t="n"/>
      <c r="R651" s="8" t="n"/>
      <c r="S651" s="8" t="n"/>
      <c r="T651" s="8" t="n"/>
      <c r="U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7">
        <f>IF(OR(F652="",G652=""),"",(G652-F652)*1440)</f>
        <v/>
      </c>
      <c r="I652" s="8" t="n"/>
      <c r="J652" s="8" t="n"/>
      <c r="K652" s="8" t="n"/>
      <c r="L652" s="8" t="n"/>
      <c r="M652" s="8" t="n"/>
      <c r="O652" s="8" t="n"/>
      <c r="P652" s="8" t="n"/>
      <c r="Q652" s="8" t="n"/>
      <c r="R652" s="8" t="n"/>
      <c r="S652" s="8" t="n"/>
      <c r="T652" s="8" t="n"/>
      <c r="U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7">
        <f>IF(OR(F653="",G653=""),"",(G653-F653)*1440)</f>
        <v/>
      </c>
      <c r="I653" s="8" t="n"/>
      <c r="J653" s="8" t="n"/>
      <c r="K653" s="8" t="n"/>
      <c r="L653" s="8" t="n"/>
      <c r="M653" s="8" t="n"/>
      <c r="O653" s="8" t="n"/>
      <c r="P653" s="8" t="n"/>
      <c r="Q653" s="8" t="n"/>
      <c r="R653" s="8" t="n"/>
      <c r="S653" s="8" t="n"/>
      <c r="T653" s="8" t="n"/>
      <c r="U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7">
        <f>IF(OR(F654="",G654=""),"",(G654-F654)*1440)</f>
        <v/>
      </c>
      <c r="I654" s="8" t="n"/>
      <c r="J654" s="8" t="n"/>
      <c r="K654" s="8" t="n"/>
      <c r="L654" s="8" t="n"/>
      <c r="M654" s="8" t="n"/>
      <c r="O654" s="8" t="n"/>
      <c r="P654" s="8" t="n"/>
      <c r="Q654" s="8" t="n"/>
      <c r="R654" s="8" t="n"/>
      <c r="S654" s="8" t="n"/>
      <c r="T654" s="8" t="n"/>
      <c r="U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7">
        <f>IF(OR(F655="",G655=""),"",(G655-F655)*1440)</f>
        <v/>
      </c>
      <c r="I655" s="8" t="n"/>
      <c r="J655" s="8" t="n"/>
      <c r="K655" s="8" t="n"/>
      <c r="L655" s="8" t="n"/>
      <c r="M655" s="8" t="n"/>
      <c r="O655" s="8" t="n"/>
      <c r="P655" s="8" t="n"/>
      <c r="Q655" s="8" t="n"/>
      <c r="R655" s="8" t="n"/>
      <c r="S655" s="8" t="n"/>
      <c r="T655" s="8" t="n"/>
      <c r="U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7">
        <f>IF(OR(F656="",G656=""),"",(G656-F656)*1440)</f>
        <v/>
      </c>
      <c r="I656" s="8" t="n"/>
      <c r="J656" s="8" t="n"/>
      <c r="K656" s="8" t="n"/>
      <c r="L656" s="8" t="n"/>
      <c r="M656" s="8" t="n"/>
      <c r="O656" s="8" t="n"/>
      <c r="P656" s="8" t="n"/>
      <c r="Q656" s="8" t="n"/>
      <c r="R656" s="8" t="n"/>
      <c r="S656" s="8" t="n"/>
      <c r="T656" s="8" t="n"/>
      <c r="U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7">
        <f>IF(OR(F657="",G657=""),"",(G657-F657)*1440)</f>
        <v/>
      </c>
      <c r="I657" s="8" t="n"/>
      <c r="J657" s="8" t="n"/>
      <c r="K657" s="8" t="n"/>
      <c r="L657" s="8" t="n"/>
      <c r="M657" s="8" t="n"/>
      <c r="O657" s="8" t="n"/>
      <c r="P657" s="8" t="n"/>
      <c r="Q657" s="8" t="n"/>
      <c r="R657" s="8" t="n"/>
      <c r="S657" s="8" t="n"/>
      <c r="T657" s="8" t="n"/>
      <c r="U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7">
        <f>IF(OR(F658="",G658=""),"",(G658-F658)*1440)</f>
        <v/>
      </c>
      <c r="I658" s="8" t="n"/>
      <c r="J658" s="8" t="n"/>
      <c r="K658" s="8" t="n"/>
      <c r="L658" s="8" t="n"/>
      <c r="M658" s="8" t="n"/>
      <c r="O658" s="8" t="n"/>
      <c r="P658" s="8" t="n"/>
      <c r="Q658" s="8" t="n"/>
      <c r="R658" s="8" t="n"/>
      <c r="S658" s="8" t="n"/>
      <c r="T658" s="8" t="n"/>
      <c r="U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7">
        <f>IF(OR(F659="",G659=""),"",(G659-F659)*1440)</f>
        <v/>
      </c>
      <c r="I659" s="8" t="n"/>
      <c r="J659" s="8" t="n"/>
      <c r="K659" s="8" t="n"/>
      <c r="L659" s="8" t="n"/>
      <c r="M659" s="8" t="n"/>
      <c r="O659" s="8" t="n"/>
      <c r="P659" s="8" t="n"/>
      <c r="Q659" s="8" t="n"/>
      <c r="R659" s="8" t="n"/>
      <c r="S659" s="8" t="n"/>
      <c r="T659" s="8" t="n"/>
      <c r="U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7">
        <f>IF(OR(F660="",G660=""),"",(G660-F660)*1440)</f>
        <v/>
      </c>
      <c r="I660" s="8" t="n"/>
      <c r="J660" s="8" t="n"/>
      <c r="K660" s="8" t="n"/>
      <c r="L660" s="8" t="n"/>
      <c r="M660" s="8" t="n"/>
      <c r="O660" s="8" t="n"/>
      <c r="P660" s="8" t="n"/>
      <c r="Q660" s="8" t="n"/>
      <c r="R660" s="8" t="n"/>
      <c r="S660" s="8" t="n"/>
      <c r="T660" s="8" t="n"/>
      <c r="U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7">
        <f>IF(OR(F661="",G661=""),"",(G661-F661)*1440)</f>
        <v/>
      </c>
      <c r="I661" s="8" t="n"/>
      <c r="J661" s="8" t="n"/>
      <c r="K661" s="8" t="n"/>
      <c r="L661" s="8" t="n"/>
      <c r="M661" s="8" t="n"/>
      <c r="O661" s="8" t="n"/>
      <c r="P661" s="8" t="n"/>
      <c r="Q661" s="8" t="n"/>
      <c r="R661" s="8" t="n"/>
      <c r="S661" s="8" t="n"/>
      <c r="T661" s="8" t="n"/>
      <c r="U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7">
        <f>IF(OR(F662="",G662=""),"",(G662-F662)*1440)</f>
        <v/>
      </c>
      <c r="I662" s="8" t="n"/>
      <c r="J662" s="8" t="n"/>
      <c r="K662" s="8" t="n"/>
      <c r="L662" s="8" t="n"/>
      <c r="M662" s="8" t="n"/>
      <c r="O662" s="8" t="n"/>
      <c r="P662" s="8" t="n"/>
      <c r="Q662" s="8" t="n"/>
      <c r="R662" s="8" t="n"/>
      <c r="S662" s="8" t="n"/>
      <c r="T662" s="8" t="n"/>
      <c r="U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7">
        <f>IF(OR(F663="",G663=""),"",(G663-F663)*1440)</f>
        <v/>
      </c>
      <c r="I663" s="8" t="n"/>
      <c r="J663" s="8" t="n"/>
      <c r="K663" s="8" t="n"/>
      <c r="L663" s="8" t="n"/>
      <c r="M663" s="8" t="n"/>
      <c r="O663" s="8" t="n"/>
      <c r="P663" s="8" t="n"/>
      <c r="Q663" s="8" t="n"/>
      <c r="R663" s="8" t="n"/>
      <c r="S663" s="8" t="n"/>
      <c r="T663" s="8" t="n"/>
      <c r="U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7">
        <f>IF(OR(F664="",G664=""),"",(G664-F664)*1440)</f>
        <v/>
      </c>
      <c r="I664" s="8" t="n"/>
      <c r="J664" s="8" t="n"/>
      <c r="K664" s="8" t="n"/>
      <c r="L664" s="8" t="n"/>
      <c r="M664" s="8" t="n"/>
      <c r="O664" s="8" t="n"/>
      <c r="P664" s="8" t="n"/>
      <c r="Q664" s="8" t="n"/>
      <c r="R664" s="8" t="n"/>
      <c r="S664" s="8" t="n"/>
      <c r="T664" s="8" t="n"/>
      <c r="U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7">
        <f>IF(OR(F665="",G665=""),"",(G665-F665)*1440)</f>
        <v/>
      </c>
      <c r="I665" s="8" t="n"/>
      <c r="J665" s="8" t="n"/>
      <c r="K665" s="8" t="n"/>
      <c r="L665" s="8" t="n"/>
      <c r="M665" s="8" t="n"/>
      <c r="O665" s="8" t="n"/>
      <c r="P665" s="8" t="n"/>
      <c r="Q665" s="8" t="n"/>
      <c r="R665" s="8" t="n"/>
      <c r="S665" s="8" t="n"/>
      <c r="T665" s="8" t="n"/>
      <c r="U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7">
        <f>IF(OR(F666="",G666=""),"",(G666-F666)*1440)</f>
        <v/>
      </c>
      <c r="I666" s="8" t="n"/>
      <c r="J666" s="8" t="n"/>
      <c r="K666" s="8" t="n"/>
      <c r="L666" s="8" t="n"/>
      <c r="M666" s="8" t="n"/>
      <c r="O666" s="8" t="n"/>
      <c r="P666" s="8" t="n"/>
      <c r="Q666" s="8" t="n"/>
      <c r="R666" s="8" t="n"/>
      <c r="S666" s="8" t="n"/>
      <c r="T666" s="8" t="n"/>
      <c r="U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7">
        <f>IF(OR(F667="",G667=""),"",(G667-F667)*1440)</f>
        <v/>
      </c>
      <c r="I667" s="8" t="n"/>
      <c r="J667" s="8" t="n"/>
      <c r="K667" s="8" t="n"/>
      <c r="L667" s="8" t="n"/>
      <c r="M667" s="8" t="n"/>
      <c r="O667" s="8" t="n"/>
      <c r="P667" s="8" t="n"/>
      <c r="Q667" s="8" t="n"/>
      <c r="R667" s="8" t="n"/>
      <c r="S667" s="8" t="n"/>
      <c r="T667" s="8" t="n"/>
      <c r="U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7">
        <f>IF(OR(F668="",G668=""),"",(G668-F668)*1440)</f>
        <v/>
      </c>
      <c r="I668" s="8" t="n"/>
      <c r="J668" s="8" t="n"/>
      <c r="K668" s="8" t="n"/>
      <c r="L668" s="8" t="n"/>
      <c r="M668" s="8" t="n"/>
      <c r="O668" s="8" t="n"/>
      <c r="P668" s="8" t="n"/>
      <c r="Q668" s="8" t="n"/>
      <c r="R668" s="8" t="n"/>
      <c r="S668" s="8" t="n"/>
      <c r="T668" s="8" t="n"/>
      <c r="U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7">
        <f>IF(OR(F669="",G669=""),"",(G669-F669)*1440)</f>
        <v/>
      </c>
      <c r="I669" s="8" t="n"/>
      <c r="J669" s="8" t="n"/>
      <c r="K669" s="8" t="n"/>
      <c r="L669" s="8" t="n"/>
      <c r="M669" s="8" t="n"/>
      <c r="O669" s="8" t="n"/>
      <c r="P669" s="8" t="n"/>
      <c r="Q669" s="8" t="n"/>
      <c r="R669" s="8" t="n"/>
      <c r="S669" s="8" t="n"/>
      <c r="T669" s="8" t="n"/>
      <c r="U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7">
        <f>IF(OR(F670="",G670=""),"",(G670-F670)*1440)</f>
        <v/>
      </c>
      <c r="I670" s="8" t="n"/>
      <c r="J670" s="8" t="n"/>
      <c r="K670" s="8" t="n"/>
      <c r="L670" s="8" t="n"/>
      <c r="M670" s="8" t="n"/>
      <c r="O670" s="8" t="n"/>
      <c r="P670" s="8" t="n"/>
      <c r="Q670" s="8" t="n"/>
      <c r="R670" s="8" t="n"/>
      <c r="S670" s="8" t="n"/>
      <c r="T670" s="8" t="n"/>
      <c r="U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7">
        <f>IF(OR(F671="",G671=""),"",(G671-F671)*1440)</f>
        <v/>
      </c>
      <c r="I671" s="8" t="n"/>
      <c r="J671" s="8" t="n"/>
      <c r="K671" s="8" t="n"/>
      <c r="L671" s="8" t="n"/>
      <c r="M671" s="8" t="n"/>
      <c r="O671" s="8" t="n"/>
      <c r="P671" s="8" t="n"/>
      <c r="Q671" s="8" t="n"/>
      <c r="R671" s="8" t="n"/>
      <c r="S671" s="8" t="n"/>
      <c r="T671" s="8" t="n"/>
      <c r="U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7">
        <f>IF(OR(F672="",G672=""),"",(G672-F672)*1440)</f>
        <v/>
      </c>
      <c r="I672" s="8" t="n"/>
      <c r="J672" s="8" t="n"/>
      <c r="K672" s="8" t="n"/>
      <c r="L672" s="8" t="n"/>
      <c r="M672" s="8" t="n"/>
      <c r="O672" s="8" t="n"/>
      <c r="P672" s="8" t="n"/>
      <c r="Q672" s="8" t="n"/>
      <c r="R672" s="8" t="n"/>
      <c r="S672" s="8" t="n"/>
      <c r="T672" s="8" t="n"/>
      <c r="U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7">
        <f>IF(OR(F673="",G673=""),"",(G673-F673)*1440)</f>
        <v/>
      </c>
      <c r="I673" s="8" t="n"/>
      <c r="J673" s="8" t="n"/>
      <c r="K673" s="8" t="n"/>
      <c r="L673" s="8" t="n"/>
      <c r="M673" s="8" t="n"/>
      <c r="O673" s="8" t="n"/>
      <c r="P673" s="8" t="n"/>
      <c r="Q673" s="8" t="n"/>
      <c r="R673" s="8" t="n"/>
      <c r="S673" s="8" t="n"/>
      <c r="T673" s="8" t="n"/>
      <c r="U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7">
        <f>IF(OR(F674="",G674=""),"",(G674-F674)*1440)</f>
        <v/>
      </c>
      <c r="I674" s="8" t="n"/>
      <c r="J674" s="8" t="n"/>
      <c r="K674" s="8" t="n"/>
      <c r="L674" s="8" t="n"/>
      <c r="M674" s="8" t="n"/>
      <c r="O674" s="8" t="n"/>
      <c r="P674" s="8" t="n"/>
      <c r="Q674" s="8" t="n"/>
      <c r="R674" s="8" t="n"/>
      <c r="S674" s="8" t="n"/>
      <c r="T674" s="8" t="n"/>
      <c r="U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7">
        <f>IF(OR(F675="",G675=""),"",(G675-F675)*1440)</f>
        <v/>
      </c>
      <c r="I675" s="8" t="n"/>
      <c r="J675" s="8" t="n"/>
      <c r="K675" s="8" t="n"/>
      <c r="L675" s="8" t="n"/>
      <c r="M675" s="8" t="n"/>
      <c r="O675" s="8" t="n"/>
      <c r="P675" s="8" t="n"/>
      <c r="Q675" s="8" t="n"/>
      <c r="R675" s="8" t="n"/>
      <c r="S675" s="8" t="n"/>
      <c r="T675" s="8" t="n"/>
      <c r="U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7">
        <f>IF(OR(F676="",G676=""),"",(G676-F676)*1440)</f>
        <v/>
      </c>
      <c r="I676" s="8" t="n"/>
      <c r="J676" s="8" t="n"/>
      <c r="K676" s="8" t="n"/>
      <c r="L676" s="8" t="n"/>
      <c r="M676" s="8" t="n"/>
      <c r="O676" s="8" t="n"/>
      <c r="P676" s="8" t="n"/>
      <c r="Q676" s="8" t="n"/>
      <c r="R676" s="8" t="n"/>
      <c r="S676" s="8" t="n"/>
      <c r="T676" s="8" t="n"/>
      <c r="U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7">
        <f>IF(OR(F677="",G677=""),"",(G677-F677)*1440)</f>
        <v/>
      </c>
      <c r="I677" s="8" t="n"/>
      <c r="J677" s="8" t="n"/>
      <c r="K677" s="8" t="n"/>
      <c r="L677" s="8" t="n"/>
      <c r="M677" s="8" t="n"/>
      <c r="O677" s="8" t="n"/>
      <c r="P677" s="8" t="n"/>
      <c r="Q677" s="8" t="n"/>
      <c r="R677" s="8" t="n"/>
      <c r="S677" s="8" t="n"/>
      <c r="T677" s="8" t="n"/>
      <c r="U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7">
        <f>IF(OR(F678="",G678=""),"",(G678-F678)*1440)</f>
        <v/>
      </c>
      <c r="I678" s="8" t="n"/>
      <c r="J678" s="8" t="n"/>
      <c r="K678" s="8" t="n"/>
      <c r="L678" s="8" t="n"/>
      <c r="M678" s="8" t="n"/>
      <c r="O678" s="8" t="n"/>
      <c r="P678" s="8" t="n"/>
      <c r="Q678" s="8" t="n"/>
      <c r="R678" s="8" t="n"/>
      <c r="S678" s="8" t="n"/>
      <c r="T678" s="8" t="n"/>
      <c r="U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7">
        <f>IF(OR(F679="",G679=""),"",(G679-F679)*1440)</f>
        <v/>
      </c>
      <c r="I679" s="8" t="n"/>
      <c r="J679" s="8" t="n"/>
      <c r="K679" s="8" t="n"/>
      <c r="L679" s="8" t="n"/>
      <c r="M679" s="8" t="n"/>
      <c r="O679" s="8" t="n"/>
      <c r="P679" s="8" t="n"/>
      <c r="Q679" s="8" t="n"/>
      <c r="R679" s="8" t="n"/>
      <c r="S679" s="8" t="n"/>
      <c r="T679" s="8" t="n"/>
      <c r="U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7">
        <f>IF(OR(F680="",G680=""),"",(G680-F680)*1440)</f>
        <v/>
      </c>
      <c r="I680" s="8" t="n"/>
      <c r="J680" s="8" t="n"/>
      <c r="K680" s="8" t="n"/>
      <c r="L680" s="8" t="n"/>
      <c r="M680" s="8" t="n"/>
      <c r="O680" s="8" t="n"/>
      <c r="P680" s="8" t="n"/>
      <c r="Q680" s="8" t="n"/>
      <c r="R680" s="8" t="n"/>
      <c r="S680" s="8" t="n"/>
      <c r="T680" s="8" t="n"/>
      <c r="U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7">
        <f>IF(OR(F681="",G681=""),"",(G681-F681)*1440)</f>
        <v/>
      </c>
      <c r="I681" s="8" t="n"/>
      <c r="J681" s="8" t="n"/>
      <c r="K681" s="8" t="n"/>
      <c r="L681" s="8" t="n"/>
      <c r="M681" s="8" t="n"/>
      <c r="O681" s="8" t="n"/>
      <c r="P681" s="8" t="n"/>
      <c r="Q681" s="8" t="n"/>
      <c r="R681" s="8" t="n"/>
      <c r="S681" s="8" t="n"/>
      <c r="T681" s="8" t="n"/>
      <c r="U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7">
        <f>IF(OR(F682="",G682=""),"",(G682-F682)*1440)</f>
        <v/>
      </c>
      <c r="I682" s="8" t="n"/>
      <c r="J682" s="8" t="n"/>
      <c r="K682" s="8" t="n"/>
      <c r="L682" s="8" t="n"/>
      <c r="M682" s="8" t="n"/>
      <c r="O682" s="8" t="n"/>
      <c r="P682" s="8" t="n"/>
      <c r="Q682" s="8" t="n"/>
      <c r="R682" s="8" t="n"/>
      <c r="S682" s="8" t="n"/>
      <c r="T682" s="8" t="n"/>
      <c r="U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7">
        <f>IF(OR(F683="",G683=""),"",(G683-F683)*1440)</f>
        <v/>
      </c>
      <c r="I683" s="8" t="n"/>
      <c r="J683" s="8" t="n"/>
      <c r="K683" s="8" t="n"/>
      <c r="L683" s="8" t="n"/>
      <c r="M683" s="8" t="n"/>
      <c r="O683" s="8" t="n"/>
      <c r="P683" s="8" t="n"/>
      <c r="Q683" s="8" t="n"/>
      <c r="R683" s="8" t="n"/>
      <c r="S683" s="8" t="n"/>
      <c r="T683" s="8" t="n"/>
      <c r="U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7">
        <f>IF(OR(F684="",G684=""),"",(G684-F684)*1440)</f>
        <v/>
      </c>
      <c r="I684" s="8" t="n"/>
      <c r="J684" s="8" t="n"/>
      <c r="K684" s="8" t="n"/>
      <c r="L684" s="8" t="n"/>
      <c r="M684" s="8" t="n"/>
      <c r="O684" s="8" t="n"/>
      <c r="P684" s="8" t="n"/>
      <c r="Q684" s="8" t="n"/>
      <c r="R684" s="8" t="n"/>
      <c r="S684" s="8" t="n"/>
      <c r="T684" s="8" t="n"/>
      <c r="U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7">
        <f>IF(OR(F685="",G685=""),"",(G685-F685)*1440)</f>
        <v/>
      </c>
      <c r="I685" s="8" t="n"/>
      <c r="J685" s="8" t="n"/>
      <c r="K685" s="8" t="n"/>
      <c r="L685" s="8" t="n"/>
      <c r="M685" s="8" t="n"/>
      <c r="O685" s="8" t="n"/>
      <c r="P685" s="8" t="n"/>
      <c r="Q685" s="8" t="n"/>
      <c r="R685" s="8" t="n"/>
      <c r="S685" s="8" t="n"/>
      <c r="T685" s="8" t="n"/>
      <c r="U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7">
        <f>IF(OR(F686="",G686=""),"",(G686-F686)*1440)</f>
        <v/>
      </c>
      <c r="I686" s="8" t="n"/>
      <c r="J686" s="8" t="n"/>
      <c r="K686" s="8" t="n"/>
      <c r="L686" s="8" t="n"/>
      <c r="M686" s="8" t="n"/>
      <c r="O686" s="8" t="n"/>
      <c r="P686" s="8" t="n"/>
      <c r="Q686" s="8" t="n"/>
      <c r="R686" s="8" t="n"/>
      <c r="S686" s="8" t="n"/>
      <c r="T686" s="8" t="n"/>
      <c r="U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7">
        <f>IF(OR(F687="",G687=""),"",(G687-F687)*1440)</f>
        <v/>
      </c>
      <c r="I687" s="8" t="n"/>
      <c r="J687" s="8" t="n"/>
      <c r="K687" s="8" t="n"/>
      <c r="L687" s="8" t="n"/>
      <c r="M687" s="8" t="n"/>
      <c r="O687" s="8" t="n"/>
      <c r="P687" s="8" t="n"/>
      <c r="Q687" s="8" t="n"/>
      <c r="R687" s="8" t="n"/>
      <c r="S687" s="8" t="n"/>
      <c r="T687" s="8" t="n"/>
      <c r="U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7">
        <f>IF(OR(F688="",G688=""),"",(G688-F688)*1440)</f>
        <v/>
      </c>
      <c r="I688" s="8" t="n"/>
      <c r="J688" s="8" t="n"/>
      <c r="K688" s="8" t="n"/>
      <c r="L688" s="8" t="n"/>
      <c r="M688" s="8" t="n"/>
      <c r="O688" s="8" t="n"/>
      <c r="P688" s="8" t="n"/>
      <c r="Q688" s="8" t="n"/>
      <c r="R688" s="8" t="n"/>
      <c r="S688" s="8" t="n"/>
      <c r="T688" s="8" t="n"/>
      <c r="U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7">
        <f>IF(OR(F689="",G689=""),"",(G689-F689)*1440)</f>
        <v/>
      </c>
      <c r="I689" s="8" t="n"/>
      <c r="J689" s="8" t="n"/>
      <c r="K689" s="8" t="n"/>
      <c r="L689" s="8" t="n"/>
      <c r="M689" s="8" t="n"/>
      <c r="O689" s="8" t="n"/>
      <c r="P689" s="8" t="n"/>
      <c r="Q689" s="8" t="n"/>
      <c r="R689" s="8" t="n"/>
      <c r="S689" s="8" t="n"/>
      <c r="T689" s="8" t="n"/>
      <c r="U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7">
        <f>IF(OR(F690="",G690=""),"",(G690-F690)*1440)</f>
        <v/>
      </c>
      <c r="I690" s="8" t="n"/>
      <c r="J690" s="8" t="n"/>
      <c r="K690" s="8" t="n"/>
      <c r="L690" s="8" t="n"/>
      <c r="M690" s="8" t="n"/>
      <c r="O690" s="8" t="n"/>
      <c r="P690" s="8" t="n"/>
      <c r="Q690" s="8" t="n"/>
      <c r="R690" s="8" t="n"/>
      <c r="S690" s="8" t="n"/>
      <c r="T690" s="8" t="n"/>
      <c r="U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7">
        <f>IF(OR(F691="",G691=""),"",(G691-F691)*1440)</f>
        <v/>
      </c>
      <c r="I691" s="8" t="n"/>
      <c r="J691" s="8" t="n"/>
      <c r="K691" s="8" t="n"/>
      <c r="L691" s="8" t="n"/>
      <c r="M691" s="8" t="n"/>
      <c r="O691" s="8" t="n"/>
      <c r="P691" s="8" t="n"/>
      <c r="Q691" s="8" t="n"/>
      <c r="R691" s="8" t="n"/>
      <c r="S691" s="8" t="n"/>
      <c r="T691" s="8" t="n"/>
      <c r="U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7">
        <f>IF(OR(F692="",G692=""),"",(G692-F692)*1440)</f>
        <v/>
      </c>
      <c r="I692" s="8" t="n"/>
      <c r="J692" s="8" t="n"/>
      <c r="K692" s="8" t="n"/>
      <c r="L692" s="8" t="n"/>
      <c r="M692" s="8" t="n"/>
      <c r="O692" s="8" t="n"/>
      <c r="P692" s="8" t="n"/>
      <c r="Q692" s="8" t="n"/>
      <c r="R692" s="8" t="n"/>
      <c r="S692" s="8" t="n"/>
      <c r="T692" s="8" t="n"/>
      <c r="U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7">
        <f>IF(OR(F693="",G693=""),"",(G693-F693)*1440)</f>
        <v/>
      </c>
      <c r="I693" s="8" t="n"/>
      <c r="J693" s="8" t="n"/>
      <c r="K693" s="8" t="n"/>
      <c r="L693" s="8" t="n"/>
      <c r="M693" s="8" t="n"/>
      <c r="O693" s="8" t="n"/>
      <c r="P693" s="8" t="n"/>
      <c r="Q693" s="8" t="n"/>
      <c r="R693" s="8" t="n"/>
      <c r="S693" s="8" t="n"/>
      <c r="T693" s="8" t="n"/>
      <c r="U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7">
        <f>IF(OR(F694="",G694=""),"",(G694-F694)*1440)</f>
        <v/>
      </c>
      <c r="I694" s="8" t="n"/>
      <c r="J694" s="8" t="n"/>
      <c r="K694" s="8" t="n"/>
      <c r="L694" s="8" t="n"/>
      <c r="M694" s="8" t="n"/>
      <c r="O694" s="8" t="n"/>
      <c r="P694" s="8" t="n"/>
      <c r="Q694" s="8" t="n"/>
      <c r="R694" s="8" t="n"/>
      <c r="S694" s="8" t="n"/>
      <c r="T694" s="8" t="n"/>
      <c r="U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7">
        <f>IF(OR(F695="",G695=""),"",(G695-F695)*1440)</f>
        <v/>
      </c>
      <c r="I695" s="8" t="n"/>
      <c r="J695" s="8" t="n"/>
      <c r="K695" s="8" t="n"/>
      <c r="L695" s="8" t="n"/>
      <c r="M695" s="8" t="n"/>
      <c r="O695" s="8" t="n"/>
      <c r="P695" s="8" t="n"/>
      <c r="Q695" s="8" t="n"/>
      <c r="R695" s="8" t="n"/>
      <c r="S695" s="8" t="n"/>
      <c r="T695" s="8" t="n"/>
      <c r="U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7">
        <f>IF(OR(F696="",G696=""),"",(G696-F696)*1440)</f>
        <v/>
      </c>
      <c r="I696" s="8" t="n"/>
      <c r="J696" s="8" t="n"/>
      <c r="K696" s="8" t="n"/>
      <c r="L696" s="8" t="n"/>
      <c r="M696" s="8" t="n"/>
      <c r="O696" s="8" t="n"/>
      <c r="P696" s="8" t="n"/>
      <c r="Q696" s="8" t="n"/>
      <c r="R696" s="8" t="n"/>
      <c r="S696" s="8" t="n"/>
      <c r="T696" s="8" t="n"/>
      <c r="U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7">
        <f>IF(OR(F697="",G697=""),"",(G697-F697)*1440)</f>
        <v/>
      </c>
      <c r="I697" s="8" t="n"/>
      <c r="J697" s="8" t="n"/>
      <c r="K697" s="8" t="n"/>
      <c r="L697" s="8" t="n"/>
      <c r="M697" s="8" t="n"/>
      <c r="O697" s="8" t="n"/>
      <c r="P697" s="8" t="n"/>
      <c r="Q697" s="8" t="n"/>
      <c r="R697" s="8" t="n"/>
      <c r="S697" s="8" t="n"/>
      <c r="T697" s="8" t="n"/>
      <c r="U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7">
        <f>IF(OR(F698="",G698=""),"",(G698-F698)*1440)</f>
        <v/>
      </c>
      <c r="I698" s="8" t="n"/>
      <c r="J698" s="8" t="n"/>
      <c r="K698" s="8" t="n"/>
      <c r="L698" s="8" t="n"/>
      <c r="M698" s="8" t="n"/>
      <c r="O698" s="8" t="n"/>
      <c r="P698" s="8" t="n"/>
      <c r="Q698" s="8" t="n"/>
      <c r="R698" s="8" t="n"/>
      <c r="S698" s="8" t="n"/>
      <c r="T698" s="8" t="n"/>
      <c r="U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7">
        <f>IF(OR(F699="",G699=""),"",(G699-F699)*1440)</f>
        <v/>
      </c>
      <c r="I699" s="8" t="n"/>
      <c r="J699" s="8" t="n"/>
      <c r="K699" s="8" t="n"/>
      <c r="L699" s="8" t="n"/>
      <c r="M699" s="8" t="n"/>
      <c r="O699" s="8" t="n"/>
      <c r="P699" s="8" t="n"/>
      <c r="Q699" s="8" t="n"/>
      <c r="R699" s="8" t="n"/>
      <c r="S699" s="8" t="n"/>
      <c r="T699" s="8" t="n"/>
      <c r="U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7">
        <f>IF(OR(F700="",G700=""),"",(G700-F700)*1440)</f>
        <v/>
      </c>
      <c r="I700" s="8" t="n"/>
      <c r="J700" s="8" t="n"/>
      <c r="K700" s="8" t="n"/>
      <c r="L700" s="8" t="n"/>
      <c r="M700" s="8" t="n"/>
      <c r="O700" s="8" t="n"/>
      <c r="P700" s="8" t="n"/>
      <c r="Q700" s="8" t="n"/>
      <c r="R700" s="8" t="n"/>
      <c r="S700" s="8" t="n"/>
      <c r="T700" s="8" t="n"/>
      <c r="U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7">
        <f>IF(OR(F701="",G701=""),"",(G701-F701)*1440)</f>
        <v/>
      </c>
      <c r="I701" s="8" t="n"/>
      <c r="J701" s="8" t="n"/>
      <c r="K701" s="8" t="n"/>
      <c r="L701" s="8" t="n"/>
      <c r="M701" s="8" t="n"/>
      <c r="O701" s="8" t="n"/>
      <c r="P701" s="8" t="n"/>
      <c r="Q701" s="8" t="n"/>
      <c r="R701" s="8" t="n"/>
      <c r="S701" s="8" t="n"/>
      <c r="T701" s="8" t="n"/>
      <c r="U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7">
        <f>IF(OR(F702="",G702=""),"",(G702-F702)*1440)</f>
        <v/>
      </c>
      <c r="I702" s="8" t="n"/>
      <c r="J702" s="8" t="n"/>
      <c r="K702" s="8" t="n"/>
      <c r="L702" s="8" t="n"/>
      <c r="M702" s="8" t="n"/>
      <c r="O702" s="8" t="n"/>
      <c r="P702" s="8" t="n"/>
      <c r="Q702" s="8" t="n"/>
      <c r="R702" s="8" t="n"/>
      <c r="S702" s="8" t="n"/>
      <c r="T702" s="8" t="n"/>
      <c r="U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7">
        <f>IF(OR(F703="",G703=""),"",(G703-F703)*1440)</f>
        <v/>
      </c>
      <c r="I703" s="8" t="n"/>
      <c r="J703" s="8" t="n"/>
      <c r="K703" s="8" t="n"/>
      <c r="L703" s="8" t="n"/>
      <c r="M703" s="8" t="n"/>
      <c r="O703" s="8" t="n"/>
      <c r="P703" s="8" t="n"/>
      <c r="Q703" s="8" t="n"/>
      <c r="R703" s="8" t="n"/>
      <c r="S703" s="8" t="n"/>
      <c r="T703" s="8" t="n"/>
      <c r="U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7">
        <f>IF(OR(F704="",G704=""),"",(G704-F704)*1440)</f>
        <v/>
      </c>
      <c r="I704" s="8" t="n"/>
      <c r="J704" s="8" t="n"/>
      <c r="K704" s="8" t="n"/>
      <c r="L704" s="8" t="n"/>
      <c r="M704" s="8" t="n"/>
      <c r="O704" s="8" t="n"/>
      <c r="P704" s="8" t="n"/>
      <c r="Q704" s="8" t="n"/>
      <c r="R704" s="8" t="n"/>
      <c r="S704" s="8" t="n"/>
      <c r="T704" s="8" t="n"/>
      <c r="U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7">
        <f>IF(OR(F705="",G705=""),"",(G705-F705)*1440)</f>
        <v/>
      </c>
      <c r="I705" s="8" t="n"/>
      <c r="J705" s="8" t="n"/>
      <c r="K705" s="8" t="n"/>
      <c r="L705" s="8" t="n"/>
      <c r="M705" s="8" t="n"/>
      <c r="O705" s="8" t="n"/>
      <c r="P705" s="8" t="n"/>
      <c r="Q705" s="8" t="n"/>
      <c r="R705" s="8" t="n"/>
      <c r="S705" s="8" t="n"/>
      <c r="T705" s="8" t="n"/>
      <c r="U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7">
        <f>IF(OR(F706="",G706=""),"",(G706-F706)*1440)</f>
        <v/>
      </c>
      <c r="I706" s="8" t="n"/>
      <c r="J706" s="8" t="n"/>
      <c r="K706" s="8" t="n"/>
      <c r="L706" s="8" t="n"/>
      <c r="M706" s="8" t="n"/>
      <c r="O706" s="8" t="n"/>
      <c r="P706" s="8" t="n"/>
      <c r="Q706" s="8" t="n"/>
      <c r="R706" s="8" t="n"/>
      <c r="S706" s="8" t="n"/>
      <c r="T706" s="8" t="n"/>
      <c r="U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7">
        <f>IF(OR(F707="",G707=""),"",(G707-F707)*1440)</f>
        <v/>
      </c>
      <c r="I707" s="8" t="n"/>
      <c r="J707" s="8" t="n"/>
      <c r="K707" s="8" t="n"/>
      <c r="L707" s="8" t="n"/>
      <c r="M707" s="8" t="n"/>
      <c r="O707" s="8" t="n"/>
      <c r="P707" s="8" t="n"/>
      <c r="Q707" s="8" t="n"/>
      <c r="R707" s="8" t="n"/>
      <c r="S707" s="8" t="n"/>
      <c r="T707" s="8" t="n"/>
      <c r="U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7">
        <f>IF(OR(F708="",G708=""),"",(G708-F708)*1440)</f>
        <v/>
      </c>
      <c r="I708" s="8" t="n"/>
      <c r="J708" s="8" t="n"/>
      <c r="K708" s="8" t="n"/>
      <c r="L708" s="8" t="n"/>
      <c r="M708" s="8" t="n"/>
      <c r="O708" s="8" t="n"/>
      <c r="P708" s="8" t="n"/>
      <c r="Q708" s="8" t="n"/>
      <c r="R708" s="8" t="n"/>
      <c r="S708" s="8" t="n"/>
      <c r="T708" s="8" t="n"/>
      <c r="U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7">
        <f>IF(OR(F709="",G709=""),"",(G709-F709)*1440)</f>
        <v/>
      </c>
      <c r="I709" s="8" t="n"/>
      <c r="J709" s="8" t="n"/>
      <c r="K709" s="8" t="n"/>
      <c r="L709" s="8" t="n"/>
      <c r="M709" s="8" t="n"/>
      <c r="O709" s="8" t="n"/>
      <c r="P709" s="8" t="n"/>
      <c r="Q709" s="8" t="n"/>
      <c r="R709" s="8" t="n"/>
      <c r="S709" s="8" t="n"/>
      <c r="T709" s="8" t="n"/>
      <c r="U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7">
        <f>IF(OR(F710="",G710=""),"",(G710-F710)*1440)</f>
        <v/>
      </c>
      <c r="I710" s="8" t="n"/>
      <c r="J710" s="8" t="n"/>
      <c r="K710" s="8" t="n"/>
      <c r="L710" s="8" t="n"/>
      <c r="M710" s="8" t="n"/>
      <c r="O710" s="8" t="n"/>
      <c r="P710" s="8" t="n"/>
      <c r="Q710" s="8" t="n"/>
      <c r="R710" s="8" t="n"/>
      <c r="S710" s="8" t="n"/>
      <c r="T710" s="8" t="n"/>
      <c r="U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7">
        <f>IF(OR(F711="",G711=""),"",(G711-F711)*1440)</f>
        <v/>
      </c>
      <c r="I711" s="8" t="n"/>
      <c r="J711" s="8" t="n"/>
      <c r="K711" s="8" t="n"/>
      <c r="L711" s="8" t="n"/>
      <c r="M711" s="8" t="n"/>
      <c r="O711" s="8" t="n"/>
      <c r="P711" s="8" t="n"/>
      <c r="Q711" s="8" t="n"/>
      <c r="R711" s="8" t="n"/>
      <c r="S711" s="8" t="n"/>
      <c r="T711" s="8" t="n"/>
      <c r="U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7">
        <f>IF(OR(F712="",G712=""),"",(G712-F712)*1440)</f>
        <v/>
      </c>
      <c r="I712" s="8" t="n"/>
      <c r="J712" s="8" t="n"/>
      <c r="K712" s="8" t="n"/>
      <c r="L712" s="8" t="n"/>
      <c r="M712" s="8" t="n"/>
      <c r="O712" s="8" t="n"/>
      <c r="P712" s="8" t="n"/>
      <c r="Q712" s="8" t="n"/>
      <c r="R712" s="8" t="n"/>
      <c r="S712" s="8" t="n"/>
      <c r="T712" s="8" t="n"/>
      <c r="U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7">
        <f>IF(OR(F713="",G713=""),"",(G713-F713)*1440)</f>
        <v/>
      </c>
      <c r="I713" s="8" t="n"/>
      <c r="J713" s="8" t="n"/>
      <c r="K713" s="8" t="n"/>
      <c r="L713" s="8" t="n"/>
      <c r="M713" s="8" t="n"/>
      <c r="O713" s="8" t="n"/>
      <c r="P713" s="8" t="n"/>
      <c r="Q713" s="8" t="n"/>
      <c r="R713" s="8" t="n"/>
      <c r="S713" s="8" t="n"/>
      <c r="T713" s="8" t="n"/>
      <c r="U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7">
        <f>IF(OR(F714="",G714=""),"",(G714-F714)*1440)</f>
        <v/>
      </c>
      <c r="I714" s="8" t="n"/>
      <c r="J714" s="8" t="n"/>
      <c r="K714" s="8" t="n"/>
      <c r="L714" s="8" t="n"/>
      <c r="M714" s="8" t="n"/>
      <c r="O714" s="8" t="n"/>
      <c r="P714" s="8" t="n"/>
      <c r="Q714" s="8" t="n"/>
      <c r="R714" s="8" t="n"/>
      <c r="S714" s="8" t="n"/>
      <c r="T714" s="8" t="n"/>
      <c r="U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7">
        <f>IF(OR(F715="",G715=""),"",(G715-F715)*1440)</f>
        <v/>
      </c>
      <c r="I715" s="8" t="n"/>
      <c r="J715" s="8" t="n"/>
      <c r="K715" s="8" t="n"/>
      <c r="L715" s="8" t="n"/>
      <c r="M715" s="8" t="n"/>
      <c r="O715" s="8" t="n"/>
      <c r="P715" s="8" t="n"/>
      <c r="Q715" s="8" t="n"/>
      <c r="R715" s="8" t="n"/>
      <c r="S715" s="8" t="n"/>
      <c r="T715" s="8" t="n"/>
      <c r="U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7">
        <f>IF(OR(F716="",G716=""),"",(G716-F716)*1440)</f>
        <v/>
      </c>
      <c r="I716" s="8" t="n"/>
      <c r="J716" s="8" t="n"/>
      <c r="K716" s="8" t="n"/>
      <c r="L716" s="8" t="n"/>
      <c r="M716" s="8" t="n"/>
      <c r="O716" s="8" t="n"/>
      <c r="P716" s="8" t="n"/>
      <c r="Q716" s="8" t="n"/>
      <c r="R716" s="8" t="n"/>
      <c r="S716" s="8" t="n"/>
      <c r="T716" s="8" t="n"/>
      <c r="U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7">
        <f>IF(OR(F717="",G717=""),"",(G717-F717)*1440)</f>
        <v/>
      </c>
      <c r="I717" s="8" t="n"/>
      <c r="J717" s="8" t="n"/>
      <c r="K717" s="8" t="n"/>
      <c r="L717" s="8" t="n"/>
      <c r="M717" s="8" t="n"/>
      <c r="O717" s="8" t="n"/>
      <c r="P717" s="8" t="n"/>
      <c r="Q717" s="8" t="n"/>
      <c r="R717" s="8" t="n"/>
      <c r="S717" s="8" t="n"/>
      <c r="T717" s="8" t="n"/>
      <c r="U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7">
        <f>IF(OR(F718="",G718=""),"",(G718-F718)*1440)</f>
        <v/>
      </c>
      <c r="I718" s="8" t="n"/>
      <c r="J718" s="8" t="n"/>
      <c r="K718" s="8" t="n"/>
      <c r="L718" s="8" t="n"/>
      <c r="M718" s="8" t="n"/>
      <c r="O718" s="8" t="n"/>
      <c r="P718" s="8" t="n"/>
      <c r="Q718" s="8" t="n"/>
      <c r="R718" s="8" t="n"/>
      <c r="S718" s="8" t="n"/>
      <c r="T718" s="8" t="n"/>
      <c r="U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7">
        <f>IF(OR(F719="",G719=""),"",(G719-F719)*1440)</f>
        <v/>
      </c>
      <c r="I719" s="8" t="n"/>
      <c r="J719" s="8" t="n"/>
      <c r="K719" s="8" t="n"/>
      <c r="L719" s="8" t="n"/>
      <c r="M719" s="8" t="n"/>
      <c r="O719" s="8" t="n"/>
      <c r="P719" s="8" t="n"/>
      <c r="Q719" s="8" t="n"/>
      <c r="R719" s="8" t="n"/>
      <c r="S719" s="8" t="n"/>
      <c r="T719" s="8" t="n"/>
      <c r="U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7">
        <f>IF(OR(F720="",G720=""),"",(G720-F720)*1440)</f>
        <v/>
      </c>
      <c r="I720" s="8" t="n"/>
      <c r="J720" s="8" t="n"/>
      <c r="K720" s="8" t="n"/>
      <c r="L720" s="8" t="n"/>
      <c r="M720" s="8" t="n"/>
      <c r="O720" s="8" t="n"/>
      <c r="P720" s="8" t="n"/>
      <c r="Q720" s="8" t="n"/>
      <c r="R720" s="8" t="n"/>
      <c r="S720" s="8" t="n"/>
      <c r="T720" s="8" t="n"/>
      <c r="U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7">
        <f>IF(OR(F721="",G721=""),"",(G721-F721)*1440)</f>
        <v/>
      </c>
      <c r="I721" s="8" t="n"/>
      <c r="J721" s="8" t="n"/>
      <c r="K721" s="8" t="n"/>
      <c r="L721" s="8" t="n"/>
      <c r="M721" s="8" t="n"/>
      <c r="O721" s="8" t="n"/>
      <c r="P721" s="8" t="n"/>
      <c r="Q721" s="8" t="n"/>
      <c r="R721" s="8" t="n"/>
      <c r="S721" s="8" t="n"/>
      <c r="T721" s="8" t="n"/>
      <c r="U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7">
        <f>IF(OR(F722="",G722=""),"",(G722-F722)*1440)</f>
        <v/>
      </c>
      <c r="I722" s="8" t="n"/>
      <c r="J722" s="8" t="n"/>
      <c r="K722" s="8" t="n"/>
      <c r="L722" s="8" t="n"/>
      <c r="M722" s="8" t="n"/>
      <c r="O722" s="8" t="n"/>
      <c r="P722" s="8" t="n"/>
      <c r="Q722" s="8" t="n"/>
      <c r="R722" s="8" t="n"/>
      <c r="S722" s="8" t="n"/>
      <c r="T722" s="8" t="n"/>
      <c r="U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7">
        <f>IF(OR(F723="",G723=""),"",(G723-F723)*1440)</f>
        <v/>
      </c>
      <c r="I723" s="8" t="n"/>
      <c r="J723" s="8" t="n"/>
      <c r="K723" s="8" t="n"/>
      <c r="L723" s="8" t="n"/>
      <c r="M723" s="8" t="n"/>
      <c r="O723" s="8" t="n"/>
      <c r="P723" s="8" t="n"/>
      <c r="Q723" s="8" t="n"/>
      <c r="R723" s="8" t="n"/>
      <c r="S723" s="8" t="n"/>
      <c r="T723" s="8" t="n"/>
      <c r="U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7">
        <f>IF(OR(F724="",G724=""),"",(G724-F724)*1440)</f>
        <v/>
      </c>
      <c r="I724" s="8" t="n"/>
      <c r="J724" s="8" t="n"/>
      <c r="K724" s="8" t="n"/>
      <c r="L724" s="8" t="n"/>
      <c r="M724" s="8" t="n"/>
      <c r="O724" s="8" t="n"/>
      <c r="P724" s="8" t="n"/>
      <c r="Q724" s="8" t="n"/>
      <c r="R724" s="8" t="n"/>
      <c r="S724" s="8" t="n"/>
      <c r="T724" s="8" t="n"/>
      <c r="U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7">
        <f>IF(OR(F725="",G725=""),"",(G725-F725)*1440)</f>
        <v/>
      </c>
      <c r="I725" s="8" t="n"/>
      <c r="J725" s="8" t="n"/>
      <c r="K725" s="8" t="n"/>
      <c r="L725" s="8" t="n"/>
      <c r="M725" s="8" t="n"/>
      <c r="O725" s="8" t="n"/>
      <c r="P725" s="8" t="n"/>
      <c r="Q725" s="8" t="n"/>
      <c r="R725" s="8" t="n"/>
      <c r="S725" s="8" t="n"/>
      <c r="T725" s="8" t="n"/>
      <c r="U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7">
        <f>IF(OR(F726="",G726=""),"",(G726-F726)*1440)</f>
        <v/>
      </c>
      <c r="I726" s="8" t="n"/>
      <c r="J726" s="8" t="n"/>
      <c r="K726" s="8" t="n"/>
      <c r="L726" s="8" t="n"/>
      <c r="M726" s="8" t="n"/>
      <c r="O726" s="8" t="n"/>
      <c r="P726" s="8" t="n"/>
      <c r="Q726" s="8" t="n"/>
      <c r="R726" s="8" t="n"/>
      <c r="S726" s="8" t="n"/>
      <c r="T726" s="8" t="n"/>
      <c r="U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7">
        <f>IF(OR(F727="",G727=""),"",(G727-F727)*1440)</f>
        <v/>
      </c>
      <c r="I727" s="8" t="n"/>
      <c r="J727" s="8" t="n"/>
      <c r="K727" s="8" t="n"/>
      <c r="L727" s="8" t="n"/>
      <c r="M727" s="8" t="n"/>
      <c r="O727" s="8" t="n"/>
      <c r="P727" s="8" t="n"/>
      <c r="Q727" s="8" t="n"/>
      <c r="R727" s="8" t="n"/>
      <c r="S727" s="8" t="n"/>
      <c r="T727" s="8" t="n"/>
      <c r="U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7">
        <f>IF(OR(F728="",G728=""),"",(G728-F728)*1440)</f>
        <v/>
      </c>
      <c r="I728" s="8" t="n"/>
      <c r="J728" s="8" t="n"/>
      <c r="K728" s="8" t="n"/>
      <c r="L728" s="8" t="n"/>
      <c r="M728" s="8" t="n"/>
      <c r="O728" s="8" t="n"/>
      <c r="P728" s="8" t="n"/>
      <c r="Q728" s="8" t="n"/>
      <c r="R728" s="8" t="n"/>
      <c r="S728" s="8" t="n"/>
      <c r="T728" s="8" t="n"/>
      <c r="U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7">
        <f>IF(OR(F729="",G729=""),"",(G729-F729)*1440)</f>
        <v/>
      </c>
      <c r="I729" s="8" t="n"/>
      <c r="J729" s="8" t="n"/>
      <c r="K729" s="8" t="n"/>
      <c r="L729" s="8" t="n"/>
      <c r="M729" s="8" t="n"/>
      <c r="O729" s="8" t="n"/>
      <c r="P729" s="8" t="n"/>
      <c r="Q729" s="8" t="n"/>
      <c r="R729" s="8" t="n"/>
      <c r="S729" s="8" t="n"/>
      <c r="T729" s="8" t="n"/>
      <c r="U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7">
        <f>IF(OR(F730="",G730=""),"",(G730-F730)*1440)</f>
        <v/>
      </c>
      <c r="I730" s="8" t="n"/>
      <c r="J730" s="8" t="n"/>
      <c r="K730" s="8" t="n"/>
      <c r="L730" s="8" t="n"/>
      <c r="M730" s="8" t="n"/>
      <c r="O730" s="8" t="n"/>
      <c r="P730" s="8" t="n"/>
      <c r="Q730" s="8" t="n"/>
      <c r="R730" s="8" t="n"/>
      <c r="S730" s="8" t="n"/>
      <c r="T730" s="8" t="n"/>
      <c r="U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7">
        <f>IF(OR(F731="",G731=""),"",(G731-F731)*1440)</f>
        <v/>
      </c>
      <c r="I731" s="8" t="n"/>
      <c r="J731" s="8" t="n"/>
      <c r="K731" s="8" t="n"/>
      <c r="L731" s="8" t="n"/>
      <c r="M731" s="8" t="n"/>
      <c r="O731" s="8" t="n"/>
      <c r="P731" s="8" t="n"/>
      <c r="Q731" s="8" t="n"/>
      <c r="R731" s="8" t="n"/>
      <c r="S731" s="8" t="n"/>
      <c r="T731" s="8" t="n"/>
      <c r="U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7">
        <f>IF(OR(F732="",G732=""),"",(G732-F732)*1440)</f>
        <v/>
      </c>
      <c r="I732" s="8" t="n"/>
      <c r="J732" s="8" t="n"/>
      <c r="K732" s="8" t="n"/>
      <c r="L732" s="8" t="n"/>
      <c r="M732" s="8" t="n"/>
      <c r="O732" s="8" t="n"/>
      <c r="P732" s="8" t="n"/>
      <c r="Q732" s="8" t="n"/>
      <c r="R732" s="8" t="n"/>
      <c r="S732" s="8" t="n"/>
      <c r="T732" s="8" t="n"/>
      <c r="U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7">
        <f>IF(OR(F733="",G733=""),"",(G733-F733)*1440)</f>
        <v/>
      </c>
      <c r="I733" s="8" t="n"/>
      <c r="J733" s="8" t="n"/>
      <c r="K733" s="8" t="n"/>
      <c r="L733" s="8" t="n"/>
      <c r="M733" s="8" t="n"/>
      <c r="O733" s="8" t="n"/>
      <c r="P733" s="8" t="n"/>
      <c r="Q733" s="8" t="n"/>
      <c r="R733" s="8" t="n"/>
      <c r="S733" s="8" t="n"/>
      <c r="T733" s="8" t="n"/>
      <c r="U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7">
        <f>IF(OR(F734="",G734=""),"",(G734-F734)*1440)</f>
        <v/>
      </c>
      <c r="I734" s="8" t="n"/>
      <c r="J734" s="8" t="n"/>
      <c r="K734" s="8" t="n"/>
      <c r="L734" s="8" t="n"/>
      <c r="M734" s="8" t="n"/>
      <c r="O734" s="8" t="n"/>
      <c r="P734" s="8" t="n"/>
      <c r="Q734" s="8" t="n"/>
      <c r="R734" s="8" t="n"/>
      <c r="S734" s="8" t="n"/>
      <c r="T734" s="8" t="n"/>
      <c r="U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7">
        <f>IF(OR(F735="",G735=""),"",(G735-F735)*1440)</f>
        <v/>
      </c>
      <c r="I735" s="8" t="n"/>
      <c r="J735" s="8" t="n"/>
      <c r="K735" s="8" t="n"/>
      <c r="L735" s="8" t="n"/>
      <c r="M735" s="8" t="n"/>
      <c r="O735" s="8" t="n"/>
      <c r="P735" s="8" t="n"/>
      <c r="Q735" s="8" t="n"/>
      <c r="R735" s="8" t="n"/>
      <c r="S735" s="8" t="n"/>
      <c r="T735" s="8" t="n"/>
      <c r="U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7">
        <f>IF(OR(F736="",G736=""),"",(G736-F736)*1440)</f>
        <v/>
      </c>
      <c r="I736" s="8" t="n"/>
      <c r="J736" s="8" t="n"/>
      <c r="K736" s="8" t="n"/>
      <c r="L736" s="8" t="n"/>
      <c r="M736" s="8" t="n"/>
      <c r="O736" s="8" t="n"/>
      <c r="P736" s="8" t="n"/>
      <c r="Q736" s="8" t="n"/>
      <c r="R736" s="8" t="n"/>
      <c r="S736" s="8" t="n"/>
      <c r="T736" s="8" t="n"/>
      <c r="U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7">
        <f>IF(OR(F737="",G737=""),"",(G737-F737)*1440)</f>
        <v/>
      </c>
      <c r="I737" s="8" t="n"/>
      <c r="J737" s="8" t="n"/>
      <c r="K737" s="8" t="n"/>
      <c r="L737" s="8" t="n"/>
      <c r="M737" s="8" t="n"/>
      <c r="O737" s="8" t="n"/>
      <c r="P737" s="8" t="n"/>
      <c r="Q737" s="8" t="n"/>
      <c r="R737" s="8" t="n"/>
      <c r="S737" s="8" t="n"/>
      <c r="T737" s="8" t="n"/>
      <c r="U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7">
        <f>IF(OR(F738="",G738=""),"",(G738-F738)*1440)</f>
        <v/>
      </c>
      <c r="I738" s="8" t="n"/>
      <c r="J738" s="8" t="n"/>
      <c r="K738" s="8" t="n"/>
      <c r="L738" s="8" t="n"/>
      <c r="M738" s="8" t="n"/>
      <c r="O738" s="8" t="n"/>
      <c r="P738" s="8" t="n"/>
      <c r="Q738" s="8" t="n"/>
      <c r="R738" s="8" t="n"/>
      <c r="S738" s="8" t="n"/>
      <c r="T738" s="8" t="n"/>
      <c r="U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7">
        <f>IF(OR(F739="",G739=""),"",(G739-F739)*1440)</f>
        <v/>
      </c>
      <c r="I739" s="8" t="n"/>
      <c r="J739" s="8" t="n"/>
      <c r="K739" s="8" t="n"/>
      <c r="L739" s="8" t="n"/>
      <c r="M739" s="8" t="n"/>
      <c r="O739" s="8" t="n"/>
      <c r="P739" s="8" t="n"/>
      <c r="Q739" s="8" t="n"/>
      <c r="R739" s="8" t="n"/>
      <c r="S739" s="8" t="n"/>
      <c r="T739" s="8" t="n"/>
      <c r="U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7">
        <f>IF(OR(F740="",G740=""),"",(G740-F740)*1440)</f>
        <v/>
      </c>
      <c r="I740" s="8" t="n"/>
      <c r="J740" s="8" t="n"/>
      <c r="K740" s="8" t="n"/>
      <c r="L740" s="8" t="n"/>
      <c r="M740" s="8" t="n"/>
      <c r="O740" s="8" t="n"/>
      <c r="P740" s="8" t="n"/>
      <c r="Q740" s="8" t="n"/>
      <c r="R740" s="8" t="n"/>
      <c r="S740" s="8" t="n"/>
      <c r="T740" s="8" t="n"/>
      <c r="U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7">
        <f>IF(OR(F741="",G741=""),"",(G741-F741)*1440)</f>
        <v/>
      </c>
      <c r="I741" s="8" t="n"/>
      <c r="J741" s="8" t="n"/>
      <c r="K741" s="8" t="n"/>
      <c r="L741" s="8" t="n"/>
      <c r="M741" s="8" t="n"/>
      <c r="O741" s="8" t="n"/>
      <c r="P741" s="8" t="n"/>
      <c r="Q741" s="8" t="n"/>
      <c r="R741" s="8" t="n"/>
      <c r="S741" s="8" t="n"/>
      <c r="T741" s="8" t="n"/>
      <c r="U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7">
        <f>IF(OR(F742="",G742=""),"",(G742-F742)*1440)</f>
        <v/>
      </c>
      <c r="I742" s="8" t="n"/>
      <c r="J742" s="8" t="n"/>
      <c r="K742" s="8" t="n"/>
      <c r="L742" s="8" t="n"/>
      <c r="M742" s="8" t="n"/>
      <c r="O742" s="8" t="n"/>
      <c r="P742" s="8" t="n"/>
      <c r="Q742" s="8" t="n"/>
      <c r="R742" s="8" t="n"/>
      <c r="S742" s="8" t="n"/>
      <c r="T742" s="8" t="n"/>
      <c r="U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7">
        <f>IF(OR(F743="",G743=""),"",(G743-F743)*1440)</f>
        <v/>
      </c>
      <c r="I743" s="8" t="n"/>
      <c r="J743" s="8" t="n"/>
      <c r="K743" s="8" t="n"/>
      <c r="L743" s="8" t="n"/>
      <c r="M743" s="8" t="n"/>
      <c r="O743" s="8" t="n"/>
      <c r="P743" s="8" t="n"/>
      <c r="Q743" s="8" t="n"/>
      <c r="R743" s="8" t="n"/>
      <c r="S743" s="8" t="n"/>
      <c r="T743" s="8" t="n"/>
      <c r="U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7">
        <f>IF(OR(F744="",G744=""),"",(G744-F744)*1440)</f>
        <v/>
      </c>
      <c r="I744" s="8" t="n"/>
      <c r="J744" s="8" t="n"/>
      <c r="K744" s="8" t="n"/>
      <c r="L744" s="8" t="n"/>
      <c r="M744" s="8" t="n"/>
      <c r="O744" s="8" t="n"/>
      <c r="P744" s="8" t="n"/>
      <c r="Q744" s="8" t="n"/>
      <c r="R744" s="8" t="n"/>
      <c r="S744" s="8" t="n"/>
      <c r="T744" s="8" t="n"/>
      <c r="U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7">
        <f>IF(OR(F745="",G745=""),"",(G745-F745)*1440)</f>
        <v/>
      </c>
      <c r="I745" s="8" t="n"/>
      <c r="J745" s="8" t="n"/>
      <c r="K745" s="8" t="n"/>
      <c r="L745" s="8" t="n"/>
      <c r="M745" s="8" t="n"/>
      <c r="O745" s="8" t="n"/>
      <c r="P745" s="8" t="n"/>
      <c r="Q745" s="8" t="n"/>
      <c r="R745" s="8" t="n"/>
      <c r="S745" s="8" t="n"/>
      <c r="T745" s="8" t="n"/>
      <c r="U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7">
        <f>IF(OR(F746="",G746=""),"",(G746-F746)*1440)</f>
        <v/>
      </c>
      <c r="I746" s="8" t="n"/>
      <c r="J746" s="8" t="n"/>
      <c r="K746" s="8" t="n"/>
      <c r="L746" s="8" t="n"/>
      <c r="M746" s="8" t="n"/>
      <c r="O746" s="8" t="n"/>
      <c r="P746" s="8" t="n"/>
      <c r="Q746" s="8" t="n"/>
      <c r="R746" s="8" t="n"/>
      <c r="S746" s="8" t="n"/>
      <c r="T746" s="8" t="n"/>
      <c r="U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7">
        <f>IF(OR(F747="",G747=""),"",(G747-F747)*1440)</f>
        <v/>
      </c>
      <c r="I747" s="8" t="n"/>
      <c r="J747" s="8" t="n"/>
      <c r="K747" s="8" t="n"/>
      <c r="L747" s="8" t="n"/>
      <c r="M747" s="8" t="n"/>
      <c r="O747" s="8" t="n"/>
      <c r="P747" s="8" t="n"/>
      <c r="Q747" s="8" t="n"/>
      <c r="R747" s="8" t="n"/>
      <c r="S747" s="8" t="n"/>
      <c r="T747" s="8" t="n"/>
      <c r="U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7">
        <f>IF(OR(F748="",G748=""),"",(G748-F748)*1440)</f>
        <v/>
      </c>
      <c r="I748" s="8" t="n"/>
      <c r="J748" s="8" t="n"/>
      <c r="K748" s="8" t="n"/>
      <c r="L748" s="8" t="n"/>
      <c r="M748" s="8" t="n"/>
      <c r="O748" s="8" t="n"/>
      <c r="P748" s="8" t="n"/>
      <c r="Q748" s="8" t="n"/>
      <c r="R748" s="8" t="n"/>
      <c r="S748" s="8" t="n"/>
      <c r="T748" s="8" t="n"/>
      <c r="U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7">
        <f>IF(OR(F749="",G749=""),"",(G749-F749)*1440)</f>
        <v/>
      </c>
      <c r="I749" s="8" t="n"/>
      <c r="J749" s="8" t="n"/>
      <c r="K749" s="8" t="n"/>
      <c r="L749" s="8" t="n"/>
      <c r="M749" s="8" t="n"/>
      <c r="O749" s="8" t="n"/>
      <c r="P749" s="8" t="n"/>
      <c r="Q749" s="8" t="n"/>
      <c r="R749" s="8" t="n"/>
      <c r="S749" s="8" t="n"/>
      <c r="T749" s="8" t="n"/>
      <c r="U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7">
        <f>IF(OR(F750="",G750=""),"",(G750-F750)*1440)</f>
        <v/>
      </c>
      <c r="I750" s="8" t="n"/>
      <c r="J750" s="8" t="n"/>
      <c r="K750" s="8" t="n"/>
      <c r="L750" s="8" t="n"/>
      <c r="M750" s="8" t="n"/>
      <c r="O750" s="8" t="n"/>
      <c r="P750" s="8" t="n"/>
      <c r="Q750" s="8" t="n"/>
      <c r="R750" s="8" t="n"/>
      <c r="S750" s="8" t="n"/>
      <c r="T750" s="8" t="n"/>
      <c r="U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7">
        <f>IF(OR(F751="",G751=""),"",(G751-F751)*1440)</f>
        <v/>
      </c>
      <c r="I751" s="8" t="n"/>
      <c r="J751" s="8" t="n"/>
      <c r="K751" s="8" t="n"/>
      <c r="L751" s="8" t="n"/>
      <c r="M751" s="8" t="n"/>
      <c r="O751" s="8" t="n"/>
      <c r="P751" s="8" t="n"/>
      <c r="Q751" s="8" t="n"/>
      <c r="R751" s="8" t="n"/>
      <c r="S751" s="8" t="n"/>
      <c r="T751" s="8" t="n"/>
      <c r="U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7">
        <f>IF(OR(F752="",G752=""),"",(G752-F752)*1440)</f>
        <v/>
      </c>
      <c r="I752" s="8" t="n"/>
      <c r="J752" s="8" t="n"/>
      <c r="K752" s="8" t="n"/>
      <c r="L752" s="8" t="n"/>
      <c r="M752" s="8" t="n"/>
      <c r="O752" s="8" t="n"/>
      <c r="P752" s="8" t="n"/>
      <c r="Q752" s="8" t="n"/>
      <c r="R752" s="8" t="n"/>
      <c r="S752" s="8" t="n"/>
      <c r="T752" s="8" t="n"/>
      <c r="U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7">
        <f>IF(OR(F753="",G753=""),"",(G753-F753)*1440)</f>
        <v/>
      </c>
      <c r="I753" s="8" t="n"/>
      <c r="J753" s="8" t="n"/>
      <c r="K753" s="8" t="n"/>
      <c r="L753" s="8" t="n"/>
      <c r="M753" s="8" t="n"/>
      <c r="O753" s="8" t="n"/>
      <c r="P753" s="8" t="n"/>
      <c r="Q753" s="8" t="n"/>
      <c r="R753" s="8" t="n"/>
      <c r="S753" s="8" t="n"/>
      <c r="T753" s="8" t="n"/>
      <c r="U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7">
        <f>IF(OR(F754="",G754=""),"",(G754-F754)*1440)</f>
        <v/>
      </c>
      <c r="I754" s="8" t="n"/>
      <c r="J754" s="8" t="n"/>
      <c r="K754" s="8" t="n"/>
      <c r="L754" s="8" t="n"/>
      <c r="M754" s="8" t="n"/>
      <c r="O754" s="8" t="n"/>
      <c r="P754" s="8" t="n"/>
      <c r="Q754" s="8" t="n"/>
      <c r="R754" s="8" t="n"/>
      <c r="S754" s="8" t="n"/>
      <c r="T754" s="8" t="n"/>
      <c r="U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7">
        <f>IF(OR(F755="",G755=""),"",(G755-F755)*1440)</f>
        <v/>
      </c>
      <c r="I755" s="8" t="n"/>
      <c r="J755" s="8" t="n"/>
      <c r="K755" s="8" t="n"/>
      <c r="L755" s="8" t="n"/>
      <c r="M755" s="8" t="n"/>
      <c r="O755" s="8" t="n"/>
      <c r="P755" s="8" t="n"/>
      <c r="Q755" s="8" t="n"/>
      <c r="R755" s="8" t="n"/>
      <c r="S755" s="8" t="n"/>
      <c r="T755" s="8" t="n"/>
      <c r="U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7">
        <f>IF(OR(F756="",G756=""),"",(G756-F756)*1440)</f>
        <v/>
      </c>
      <c r="I756" s="8" t="n"/>
      <c r="J756" s="8" t="n"/>
      <c r="K756" s="8" t="n"/>
      <c r="L756" s="8" t="n"/>
      <c r="M756" s="8" t="n"/>
      <c r="O756" s="8" t="n"/>
      <c r="P756" s="8" t="n"/>
      <c r="Q756" s="8" t="n"/>
      <c r="R756" s="8" t="n"/>
      <c r="S756" s="8" t="n"/>
      <c r="T756" s="8" t="n"/>
      <c r="U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7">
        <f>IF(OR(F757="",G757=""),"",(G757-F757)*1440)</f>
        <v/>
      </c>
      <c r="I757" s="8" t="n"/>
      <c r="J757" s="8" t="n"/>
      <c r="K757" s="8" t="n"/>
      <c r="L757" s="8" t="n"/>
      <c r="M757" s="8" t="n"/>
      <c r="O757" s="8" t="n"/>
      <c r="P757" s="8" t="n"/>
      <c r="Q757" s="8" t="n"/>
      <c r="R757" s="8" t="n"/>
      <c r="S757" s="8" t="n"/>
      <c r="T757" s="8" t="n"/>
      <c r="U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7">
        <f>IF(OR(F758="",G758=""),"",(G758-F758)*1440)</f>
        <v/>
      </c>
      <c r="I758" s="8" t="n"/>
      <c r="J758" s="8" t="n"/>
      <c r="K758" s="8" t="n"/>
      <c r="L758" s="8" t="n"/>
      <c r="M758" s="8" t="n"/>
      <c r="O758" s="8" t="n"/>
      <c r="P758" s="8" t="n"/>
      <c r="Q758" s="8" t="n"/>
      <c r="R758" s="8" t="n"/>
      <c r="S758" s="8" t="n"/>
      <c r="T758" s="8" t="n"/>
      <c r="U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7">
        <f>IF(OR(F759="",G759=""),"",(G759-F759)*1440)</f>
        <v/>
      </c>
      <c r="I759" s="8" t="n"/>
      <c r="J759" s="8" t="n"/>
      <c r="K759" s="8" t="n"/>
      <c r="L759" s="8" t="n"/>
      <c r="M759" s="8" t="n"/>
      <c r="O759" s="8" t="n"/>
      <c r="P759" s="8" t="n"/>
      <c r="Q759" s="8" t="n"/>
      <c r="R759" s="8" t="n"/>
      <c r="S759" s="8" t="n"/>
      <c r="T759" s="8" t="n"/>
      <c r="U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7">
        <f>IF(OR(F760="",G760=""),"",(G760-F760)*1440)</f>
        <v/>
      </c>
      <c r="I760" s="8" t="n"/>
      <c r="J760" s="8" t="n"/>
      <c r="K760" s="8" t="n"/>
      <c r="L760" s="8" t="n"/>
      <c r="M760" s="8" t="n"/>
      <c r="O760" s="8" t="n"/>
      <c r="P760" s="8" t="n"/>
      <c r="Q760" s="8" t="n"/>
      <c r="R760" s="8" t="n"/>
      <c r="S760" s="8" t="n"/>
      <c r="T760" s="8" t="n"/>
      <c r="U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7">
        <f>IF(OR(F761="",G761=""),"",(G761-F761)*1440)</f>
        <v/>
      </c>
      <c r="I761" s="8" t="n"/>
      <c r="J761" s="8" t="n"/>
      <c r="K761" s="8" t="n"/>
      <c r="L761" s="8" t="n"/>
      <c r="M761" s="8" t="n"/>
      <c r="O761" s="8" t="n"/>
      <c r="P761" s="8" t="n"/>
      <c r="Q761" s="8" t="n"/>
      <c r="R761" s="8" t="n"/>
      <c r="S761" s="8" t="n"/>
      <c r="T761" s="8" t="n"/>
      <c r="U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7">
        <f>IF(OR(F762="",G762=""),"",(G762-F762)*1440)</f>
        <v/>
      </c>
      <c r="I762" s="8" t="n"/>
      <c r="J762" s="8" t="n"/>
      <c r="K762" s="8" t="n"/>
      <c r="L762" s="8" t="n"/>
      <c r="M762" s="8" t="n"/>
      <c r="O762" s="8" t="n"/>
      <c r="P762" s="8" t="n"/>
      <c r="Q762" s="8" t="n"/>
      <c r="R762" s="8" t="n"/>
      <c r="S762" s="8" t="n"/>
      <c r="T762" s="8" t="n"/>
      <c r="U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7">
        <f>IF(OR(F763="",G763=""),"",(G763-F763)*1440)</f>
        <v/>
      </c>
      <c r="I763" s="8" t="n"/>
      <c r="J763" s="8" t="n"/>
      <c r="K763" s="8" t="n"/>
      <c r="L763" s="8" t="n"/>
      <c r="M763" s="8" t="n"/>
      <c r="O763" s="8" t="n"/>
      <c r="P763" s="8" t="n"/>
      <c r="Q763" s="8" t="n"/>
      <c r="R763" s="8" t="n"/>
      <c r="S763" s="8" t="n"/>
      <c r="T763" s="8" t="n"/>
      <c r="U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7">
        <f>IF(OR(F764="",G764=""),"",(G764-F764)*1440)</f>
        <v/>
      </c>
      <c r="I764" s="8" t="n"/>
      <c r="J764" s="8" t="n"/>
      <c r="K764" s="8" t="n"/>
      <c r="L764" s="8" t="n"/>
      <c r="M764" s="8" t="n"/>
      <c r="O764" s="8" t="n"/>
      <c r="P764" s="8" t="n"/>
      <c r="Q764" s="8" t="n"/>
      <c r="R764" s="8" t="n"/>
      <c r="S764" s="8" t="n"/>
      <c r="T764" s="8" t="n"/>
      <c r="U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7">
        <f>IF(OR(F765="",G765=""),"",(G765-F765)*1440)</f>
        <v/>
      </c>
      <c r="I765" s="8" t="n"/>
      <c r="J765" s="8" t="n"/>
      <c r="K765" s="8" t="n"/>
      <c r="L765" s="8" t="n"/>
      <c r="M765" s="8" t="n"/>
      <c r="O765" s="8" t="n"/>
      <c r="P765" s="8" t="n"/>
      <c r="Q765" s="8" t="n"/>
      <c r="R765" s="8" t="n"/>
      <c r="S765" s="8" t="n"/>
      <c r="T765" s="8" t="n"/>
      <c r="U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7">
        <f>IF(OR(F766="",G766=""),"",(G766-F766)*1440)</f>
        <v/>
      </c>
      <c r="I766" s="8" t="n"/>
      <c r="J766" s="8" t="n"/>
      <c r="K766" s="8" t="n"/>
      <c r="L766" s="8" t="n"/>
      <c r="M766" s="8" t="n"/>
      <c r="O766" s="8" t="n"/>
      <c r="P766" s="8" t="n"/>
      <c r="Q766" s="8" t="n"/>
      <c r="R766" s="8" t="n"/>
      <c r="S766" s="8" t="n"/>
      <c r="T766" s="8" t="n"/>
      <c r="U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7">
        <f>IF(OR(F767="",G767=""),"",(G767-F767)*1440)</f>
        <v/>
      </c>
      <c r="I767" s="8" t="n"/>
      <c r="J767" s="8" t="n"/>
      <c r="K767" s="8" t="n"/>
      <c r="L767" s="8" t="n"/>
      <c r="M767" s="8" t="n"/>
      <c r="O767" s="8" t="n"/>
      <c r="P767" s="8" t="n"/>
      <c r="Q767" s="8" t="n"/>
      <c r="R767" s="8" t="n"/>
      <c r="S767" s="8" t="n"/>
      <c r="T767" s="8" t="n"/>
      <c r="U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7">
        <f>IF(OR(F768="",G768=""),"",(G768-F768)*1440)</f>
        <v/>
      </c>
      <c r="I768" s="8" t="n"/>
      <c r="J768" s="8" t="n"/>
      <c r="K768" s="8" t="n"/>
      <c r="L768" s="8" t="n"/>
      <c r="M768" s="8" t="n"/>
      <c r="O768" s="8" t="n"/>
      <c r="P768" s="8" t="n"/>
      <c r="Q768" s="8" t="n"/>
      <c r="R768" s="8" t="n"/>
      <c r="S768" s="8" t="n"/>
      <c r="T768" s="8" t="n"/>
      <c r="U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7">
        <f>IF(OR(F769="",G769=""),"",(G769-F769)*1440)</f>
        <v/>
      </c>
      <c r="I769" s="8" t="n"/>
      <c r="J769" s="8" t="n"/>
      <c r="K769" s="8" t="n"/>
      <c r="L769" s="8" t="n"/>
      <c r="M769" s="8" t="n"/>
      <c r="O769" s="8" t="n"/>
      <c r="P769" s="8" t="n"/>
      <c r="Q769" s="8" t="n"/>
      <c r="R769" s="8" t="n"/>
      <c r="S769" s="8" t="n"/>
      <c r="T769" s="8" t="n"/>
      <c r="U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7">
        <f>IF(OR(F770="",G770=""),"",(G770-F770)*1440)</f>
        <v/>
      </c>
      <c r="I770" s="8" t="n"/>
      <c r="J770" s="8" t="n"/>
      <c r="K770" s="8" t="n"/>
      <c r="L770" s="8" t="n"/>
      <c r="M770" s="8" t="n"/>
      <c r="O770" s="8" t="n"/>
      <c r="P770" s="8" t="n"/>
      <c r="Q770" s="8" t="n"/>
      <c r="R770" s="8" t="n"/>
      <c r="S770" s="8" t="n"/>
      <c r="T770" s="8" t="n"/>
      <c r="U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7">
        <f>IF(OR(F771="",G771=""),"",(G771-F771)*1440)</f>
        <v/>
      </c>
      <c r="I771" s="8" t="n"/>
      <c r="J771" s="8" t="n"/>
      <c r="K771" s="8" t="n"/>
      <c r="L771" s="8" t="n"/>
      <c r="M771" s="8" t="n"/>
      <c r="O771" s="8" t="n"/>
      <c r="P771" s="8" t="n"/>
      <c r="Q771" s="8" t="n"/>
      <c r="R771" s="8" t="n"/>
      <c r="S771" s="8" t="n"/>
      <c r="T771" s="8" t="n"/>
      <c r="U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7">
        <f>IF(OR(F772="",G772=""),"",(G772-F772)*1440)</f>
        <v/>
      </c>
      <c r="I772" s="8" t="n"/>
      <c r="J772" s="8" t="n"/>
      <c r="K772" s="8" t="n"/>
      <c r="L772" s="8" t="n"/>
      <c r="M772" s="8" t="n"/>
      <c r="O772" s="8" t="n"/>
      <c r="P772" s="8" t="n"/>
      <c r="Q772" s="8" t="n"/>
      <c r="R772" s="8" t="n"/>
      <c r="S772" s="8" t="n"/>
      <c r="T772" s="8" t="n"/>
      <c r="U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7">
        <f>IF(OR(F773="",G773=""),"",(G773-F773)*1440)</f>
        <v/>
      </c>
      <c r="I773" s="8" t="n"/>
      <c r="J773" s="8" t="n"/>
      <c r="K773" s="8" t="n"/>
      <c r="L773" s="8" t="n"/>
      <c r="M773" s="8" t="n"/>
      <c r="O773" s="8" t="n"/>
      <c r="P773" s="8" t="n"/>
      <c r="Q773" s="8" t="n"/>
      <c r="R773" s="8" t="n"/>
      <c r="S773" s="8" t="n"/>
      <c r="T773" s="8" t="n"/>
      <c r="U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7">
        <f>IF(OR(F774="",G774=""),"",(G774-F774)*1440)</f>
        <v/>
      </c>
      <c r="I774" s="8" t="n"/>
      <c r="J774" s="8" t="n"/>
      <c r="K774" s="8" t="n"/>
      <c r="L774" s="8" t="n"/>
      <c r="M774" s="8" t="n"/>
      <c r="O774" s="8" t="n"/>
      <c r="P774" s="8" t="n"/>
      <c r="Q774" s="8" t="n"/>
      <c r="R774" s="8" t="n"/>
      <c r="S774" s="8" t="n"/>
      <c r="T774" s="8" t="n"/>
      <c r="U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7">
        <f>IF(OR(F775="",G775=""),"",(G775-F775)*1440)</f>
        <v/>
      </c>
      <c r="I775" s="8" t="n"/>
      <c r="J775" s="8" t="n"/>
      <c r="K775" s="8" t="n"/>
      <c r="L775" s="8" t="n"/>
      <c r="M775" s="8" t="n"/>
      <c r="O775" s="8" t="n"/>
      <c r="P775" s="8" t="n"/>
      <c r="Q775" s="8" t="n"/>
      <c r="R775" s="8" t="n"/>
      <c r="S775" s="8" t="n"/>
      <c r="T775" s="8" t="n"/>
      <c r="U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7">
        <f>IF(OR(F776="",G776=""),"",(G776-F776)*1440)</f>
        <v/>
      </c>
      <c r="I776" s="8" t="n"/>
      <c r="J776" s="8" t="n"/>
      <c r="K776" s="8" t="n"/>
      <c r="L776" s="8" t="n"/>
      <c r="M776" s="8" t="n"/>
      <c r="O776" s="8" t="n"/>
      <c r="P776" s="8" t="n"/>
      <c r="Q776" s="8" t="n"/>
      <c r="R776" s="8" t="n"/>
      <c r="S776" s="8" t="n"/>
      <c r="T776" s="8" t="n"/>
      <c r="U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7">
        <f>IF(OR(F777="",G777=""),"",(G777-F777)*1440)</f>
        <v/>
      </c>
      <c r="I777" s="8" t="n"/>
      <c r="J777" s="8" t="n"/>
      <c r="K777" s="8" t="n"/>
      <c r="L777" s="8" t="n"/>
      <c r="M777" s="8" t="n"/>
      <c r="O777" s="8" t="n"/>
      <c r="P777" s="8" t="n"/>
      <c r="Q777" s="8" t="n"/>
      <c r="R777" s="8" t="n"/>
      <c r="S777" s="8" t="n"/>
      <c r="T777" s="8" t="n"/>
      <c r="U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7">
        <f>IF(OR(F778="",G778=""),"",(G778-F778)*1440)</f>
        <v/>
      </c>
      <c r="I778" s="8" t="n"/>
      <c r="J778" s="8" t="n"/>
      <c r="K778" s="8" t="n"/>
      <c r="L778" s="8" t="n"/>
      <c r="M778" s="8" t="n"/>
      <c r="O778" s="8" t="n"/>
      <c r="P778" s="8" t="n"/>
      <c r="Q778" s="8" t="n"/>
      <c r="R778" s="8" t="n"/>
      <c r="S778" s="8" t="n"/>
      <c r="T778" s="8" t="n"/>
      <c r="U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7">
        <f>IF(OR(F779="",G779=""),"",(G779-F779)*1440)</f>
        <v/>
      </c>
      <c r="I779" s="8" t="n"/>
      <c r="J779" s="8" t="n"/>
      <c r="K779" s="8" t="n"/>
      <c r="L779" s="8" t="n"/>
      <c r="M779" s="8" t="n"/>
      <c r="O779" s="8" t="n"/>
      <c r="P779" s="8" t="n"/>
      <c r="Q779" s="8" t="n"/>
      <c r="R779" s="8" t="n"/>
      <c r="S779" s="8" t="n"/>
      <c r="T779" s="8" t="n"/>
      <c r="U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7">
        <f>IF(OR(F780="",G780=""),"",(G780-F780)*1440)</f>
        <v/>
      </c>
      <c r="I780" s="8" t="n"/>
      <c r="J780" s="8" t="n"/>
      <c r="K780" s="8" t="n"/>
      <c r="L780" s="8" t="n"/>
      <c r="M780" s="8" t="n"/>
      <c r="O780" s="8" t="n"/>
      <c r="P780" s="8" t="n"/>
      <c r="Q780" s="8" t="n"/>
      <c r="R780" s="8" t="n"/>
      <c r="S780" s="8" t="n"/>
      <c r="T780" s="8" t="n"/>
      <c r="U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7">
        <f>IF(OR(F781="",G781=""),"",(G781-F781)*1440)</f>
        <v/>
      </c>
      <c r="I781" s="8" t="n"/>
      <c r="J781" s="8" t="n"/>
      <c r="K781" s="8" t="n"/>
      <c r="L781" s="8" t="n"/>
      <c r="M781" s="8" t="n"/>
      <c r="O781" s="8" t="n"/>
      <c r="P781" s="8" t="n"/>
      <c r="Q781" s="8" t="n"/>
      <c r="R781" s="8" t="n"/>
      <c r="S781" s="8" t="n"/>
      <c r="T781" s="8" t="n"/>
      <c r="U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7">
        <f>IF(OR(F782="",G782=""),"",(G782-F782)*1440)</f>
        <v/>
      </c>
      <c r="I782" s="8" t="n"/>
      <c r="J782" s="8" t="n"/>
      <c r="K782" s="8" t="n"/>
      <c r="L782" s="8" t="n"/>
      <c r="M782" s="8" t="n"/>
      <c r="O782" s="8" t="n"/>
      <c r="P782" s="8" t="n"/>
      <c r="Q782" s="8" t="n"/>
      <c r="R782" s="8" t="n"/>
      <c r="S782" s="8" t="n"/>
      <c r="T782" s="8" t="n"/>
      <c r="U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7">
        <f>IF(OR(F783="",G783=""),"",(G783-F783)*1440)</f>
        <v/>
      </c>
      <c r="I783" s="8" t="n"/>
      <c r="J783" s="8" t="n"/>
      <c r="K783" s="8" t="n"/>
      <c r="L783" s="8" t="n"/>
      <c r="M783" s="8" t="n"/>
      <c r="O783" s="8" t="n"/>
      <c r="P783" s="8" t="n"/>
      <c r="Q783" s="8" t="n"/>
      <c r="R783" s="8" t="n"/>
      <c r="S783" s="8" t="n"/>
      <c r="T783" s="8" t="n"/>
      <c r="U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7">
        <f>IF(OR(F784="",G784=""),"",(G784-F784)*1440)</f>
        <v/>
      </c>
      <c r="I784" s="8" t="n"/>
      <c r="J784" s="8" t="n"/>
      <c r="K784" s="8" t="n"/>
      <c r="L784" s="8" t="n"/>
      <c r="M784" s="8" t="n"/>
      <c r="O784" s="8" t="n"/>
      <c r="P784" s="8" t="n"/>
      <c r="Q784" s="8" t="n"/>
      <c r="R784" s="8" t="n"/>
      <c r="S784" s="8" t="n"/>
      <c r="T784" s="8" t="n"/>
      <c r="U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7">
        <f>IF(OR(F785="",G785=""),"",(G785-F785)*1440)</f>
        <v/>
      </c>
      <c r="I785" s="8" t="n"/>
      <c r="J785" s="8" t="n"/>
      <c r="K785" s="8" t="n"/>
      <c r="L785" s="8" t="n"/>
      <c r="M785" s="8" t="n"/>
      <c r="O785" s="8" t="n"/>
      <c r="P785" s="8" t="n"/>
      <c r="Q785" s="8" t="n"/>
      <c r="R785" s="8" t="n"/>
      <c r="S785" s="8" t="n"/>
      <c r="T785" s="8" t="n"/>
      <c r="U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7">
        <f>IF(OR(F786="",G786=""),"",(G786-F786)*1440)</f>
        <v/>
      </c>
      <c r="I786" s="8" t="n"/>
      <c r="J786" s="8" t="n"/>
      <c r="K786" s="8" t="n"/>
      <c r="L786" s="8" t="n"/>
      <c r="M786" s="8" t="n"/>
      <c r="O786" s="8" t="n"/>
      <c r="P786" s="8" t="n"/>
      <c r="Q786" s="8" t="n"/>
      <c r="R786" s="8" t="n"/>
      <c r="S786" s="8" t="n"/>
      <c r="T786" s="8" t="n"/>
      <c r="U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7">
        <f>IF(OR(F787="",G787=""),"",(G787-F787)*1440)</f>
        <v/>
      </c>
      <c r="I787" s="8" t="n"/>
      <c r="J787" s="8" t="n"/>
      <c r="K787" s="8" t="n"/>
      <c r="L787" s="8" t="n"/>
      <c r="M787" s="8" t="n"/>
      <c r="O787" s="8" t="n"/>
      <c r="P787" s="8" t="n"/>
      <c r="Q787" s="8" t="n"/>
      <c r="R787" s="8" t="n"/>
      <c r="S787" s="8" t="n"/>
      <c r="T787" s="8" t="n"/>
      <c r="U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7">
        <f>IF(OR(F788="",G788=""),"",(G788-F788)*1440)</f>
        <v/>
      </c>
      <c r="I788" s="8" t="n"/>
      <c r="J788" s="8" t="n"/>
      <c r="K788" s="8" t="n"/>
      <c r="L788" s="8" t="n"/>
      <c r="M788" s="8" t="n"/>
      <c r="O788" s="8" t="n"/>
      <c r="P788" s="8" t="n"/>
      <c r="Q788" s="8" t="n"/>
      <c r="R788" s="8" t="n"/>
      <c r="S788" s="8" t="n"/>
      <c r="T788" s="8" t="n"/>
      <c r="U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7">
        <f>IF(OR(F789="",G789=""),"",(G789-F789)*1440)</f>
        <v/>
      </c>
      <c r="I789" s="8" t="n"/>
      <c r="J789" s="8" t="n"/>
      <c r="K789" s="8" t="n"/>
      <c r="L789" s="8" t="n"/>
      <c r="M789" s="8" t="n"/>
      <c r="O789" s="8" t="n"/>
      <c r="P789" s="8" t="n"/>
      <c r="Q789" s="8" t="n"/>
      <c r="R789" s="8" t="n"/>
      <c r="S789" s="8" t="n"/>
      <c r="T789" s="8" t="n"/>
      <c r="U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7">
        <f>IF(OR(F790="",G790=""),"",(G790-F790)*1440)</f>
        <v/>
      </c>
      <c r="I790" s="8" t="n"/>
      <c r="J790" s="8" t="n"/>
      <c r="K790" s="8" t="n"/>
      <c r="L790" s="8" t="n"/>
      <c r="M790" s="8" t="n"/>
      <c r="O790" s="8" t="n"/>
      <c r="P790" s="8" t="n"/>
      <c r="Q790" s="8" t="n"/>
      <c r="R790" s="8" t="n"/>
      <c r="S790" s="8" t="n"/>
      <c r="T790" s="8" t="n"/>
      <c r="U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7">
        <f>IF(OR(F791="",G791=""),"",(G791-F791)*1440)</f>
        <v/>
      </c>
      <c r="I791" s="8" t="n"/>
      <c r="J791" s="8" t="n"/>
      <c r="K791" s="8" t="n"/>
      <c r="L791" s="8" t="n"/>
      <c r="M791" s="8" t="n"/>
      <c r="O791" s="8" t="n"/>
      <c r="P791" s="8" t="n"/>
      <c r="Q791" s="8" t="n"/>
      <c r="R791" s="8" t="n"/>
      <c r="S791" s="8" t="n"/>
      <c r="T791" s="8" t="n"/>
      <c r="U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7">
        <f>IF(OR(F792="",G792=""),"",(G792-F792)*1440)</f>
        <v/>
      </c>
      <c r="I792" s="8" t="n"/>
      <c r="J792" s="8" t="n"/>
      <c r="K792" s="8" t="n"/>
      <c r="L792" s="8" t="n"/>
      <c r="M792" s="8" t="n"/>
      <c r="O792" s="8" t="n"/>
      <c r="P792" s="8" t="n"/>
      <c r="Q792" s="8" t="n"/>
      <c r="R792" s="8" t="n"/>
      <c r="S792" s="8" t="n"/>
      <c r="T792" s="8" t="n"/>
      <c r="U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7">
        <f>IF(OR(F793="",G793=""),"",(G793-F793)*1440)</f>
        <v/>
      </c>
      <c r="I793" s="8" t="n"/>
      <c r="J793" s="8" t="n"/>
      <c r="K793" s="8" t="n"/>
      <c r="L793" s="8" t="n"/>
      <c r="M793" s="8" t="n"/>
      <c r="O793" s="8" t="n"/>
      <c r="P793" s="8" t="n"/>
      <c r="Q793" s="8" t="n"/>
      <c r="R793" s="8" t="n"/>
      <c r="S793" s="8" t="n"/>
      <c r="T793" s="8" t="n"/>
      <c r="U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7">
        <f>IF(OR(F794="",G794=""),"",(G794-F794)*1440)</f>
        <v/>
      </c>
      <c r="I794" s="8" t="n"/>
      <c r="J794" s="8" t="n"/>
      <c r="K794" s="8" t="n"/>
      <c r="L794" s="8" t="n"/>
      <c r="M794" s="8" t="n"/>
      <c r="O794" s="8" t="n"/>
      <c r="P794" s="8" t="n"/>
      <c r="Q794" s="8" t="n"/>
      <c r="R794" s="8" t="n"/>
      <c r="S794" s="8" t="n"/>
      <c r="T794" s="8" t="n"/>
      <c r="U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7">
        <f>IF(OR(F795="",G795=""),"",(G795-F795)*1440)</f>
        <v/>
      </c>
      <c r="I795" s="8" t="n"/>
      <c r="J795" s="8" t="n"/>
      <c r="K795" s="8" t="n"/>
      <c r="L795" s="8" t="n"/>
      <c r="M795" s="8" t="n"/>
      <c r="O795" s="8" t="n"/>
      <c r="P795" s="8" t="n"/>
      <c r="Q795" s="8" t="n"/>
      <c r="R795" s="8" t="n"/>
      <c r="S795" s="8" t="n"/>
      <c r="T795" s="8" t="n"/>
      <c r="U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7">
        <f>IF(OR(F796="",G796=""),"",(G796-F796)*1440)</f>
        <v/>
      </c>
      <c r="I796" s="8" t="n"/>
      <c r="J796" s="8" t="n"/>
      <c r="K796" s="8" t="n"/>
      <c r="L796" s="8" t="n"/>
      <c r="M796" s="8" t="n"/>
      <c r="O796" s="8" t="n"/>
      <c r="P796" s="8" t="n"/>
      <c r="Q796" s="8" t="n"/>
      <c r="R796" s="8" t="n"/>
      <c r="S796" s="8" t="n"/>
      <c r="T796" s="8" t="n"/>
      <c r="U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7">
        <f>IF(OR(F797="",G797=""),"",(G797-F797)*1440)</f>
        <v/>
      </c>
      <c r="I797" s="8" t="n"/>
      <c r="J797" s="8" t="n"/>
      <c r="K797" s="8" t="n"/>
      <c r="L797" s="8" t="n"/>
      <c r="M797" s="8" t="n"/>
      <c r="O797" s="8" t="n"/>
      <c r="P797" s="8" t="n"/>
      <c r="Q797" s="8" t="n"/>
      <c r="R797" s="8" t="n"/>
      <c r="S797" s="8" t="n"/>
      <c r="T797" s="8" t="n"/>
      <c r="U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7">
        <f>IF(OR(F798="",G798=""),"",(G798-F798)*1440)</f>
        <v/>
      </c>
      <c r="I798" s="8" t="n"/>
      <c r="J798" s="8" t="n"/>
      <c r="K798" s="8" t="n"/>
      <c r="L798" s="8" t="n"/>
      <c r="M798" s="8" t="n"/>
      <c r="O798" s="8" t="n"/>
      <c r="P798" s="8" t="n"/>
      <c r="Q798" s="8" t="n"/>
      <c r="R798" s="8" t="n"/>
      <c r="S798" s="8" t="n"/>
      <c r="T798" s="8" t="n"/>
      <c r="U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7">
        <f>IF(OR(F799="",G799=""),"",(G799-F799)*1440)</f>
        <v/>
      </c>
      <c r="I799" s="8" t="n"/>
      <c r="J799" s="8" t="n"/>
      <c r="K799" s="8" t="n"/>
      <c r="L799" s="8" t="n"/>
      <c r="M799" s="8" t="n"/>
      <c r="O799" s="8" t="n"/>
      <c r="P799" s="8" t="n"/>
      <c r="Q799" s="8" t="n"/>
      <c r="R799" s="8" t="n"/>
      <c r="S799" s="8" t="n"/>
      <c r="T799" s="8" t="n"/>
      <c r="U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7">
        <f>IF(OR(F800="",G800=""),"",(G800-F800)*1440)</f>
        <v/>
      </c>
      <c r="I800" s="8" t="n"/>
      <c r="J800" s="8" t="n"/>
      <c r="K800" s="8" t="n"/>
      <c r="L800" s="8" t="n"/>
      <c r="M800" s="8" t="n"/>
      <c r="O800" s="8" t="n"/>
      <c r="P800" s="8" t="n"/>
      <c r="Q800" s="8" t="n"/>
      <c r="R800" s="8" t="n"/>
      <c r="S800" s="8" t="n"/>
      <c r="T800" s="8" t="n"/>
      <c r="U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7">
        <f>IF(OR(F801="",G801=""),"",(G801-F801)*1440)</f>
        <v/>
      </c>
      <c r="I801" s="8" t="n"/>
      <c r="J801" s="8" t="n"/>
      <c r="K801" s="8" t="n"/>
      <c r="L801" s="8" t="n"/>
      <c r="M801" s="8" t="n"/>
      <c r="O801" s="8" t="n"/>
      <c r="P801" s="8" t="n"/>
      <c r="Q801" s="8" t="n"/>
      <c r="R801" s="8" t="n"/>
      <c r="S801" s="8" t="n"/>
      <c r="T801" s="8" t="n"/>
      <c r="U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7">
        <f>IF(OR(F802="",G802=""),"",(G802-F802)*1440)</f>
        <v/>
      </c>
      <c r="I802" s="8" t="n"/>
      <c r="J802" s="8" t="n"/>
      <c r="K802" s="8" t="n"/>
      <c r="L802" s="8" t="n"/>
      <c r="M802" s="8" t="n"/>
      <c r="O802" s="8" t="n"/>
      <c r="P802" s="8" t="n"/>
      <c r="Q802" s="8" t="n"/>
      <c r="R802" s="8" t="n"/>
      <c r="S802" s="8" t="n"/>
      <c r="T802" s="8" t="n"/>
      <c r="U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7">
        <f>IF(OR(F803="",G803=""),"",(G803-F803)*1440)</f>
        <v/>
      </c>
      <c r="I803" s="8" t="n"/>
      <c r="J803" s="8" t="n"/>
      <c r="K803" s="8" t="n"/>
      <c r="L803" s="8" t="n"/>
      <c r="M803" s="8" t="n"/>
      <c r="O803" s="8" t="n"/>
      <c r="P803" s="8" t="n"/>
      <c r="Q803" s="8" t="n"/>
      <c r="R803" s="8" t="n"/>
      <c r="S803" s="8" t="n"/>
      <c r="T803" s="8" t="n"/>
      <c r="U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7">
        <f>IF(OR(F804="",G804=""),"",(G804-F804)*1440)</f>
        <v/>
      </c>
      <c r="I804" s="8" t="n"/>
      <c r="J804" s="8" t="n"/>
      <c r="K804" s="8" t="n"/>
      <c r="L804" s="8" t="n"/>
      <c r="M804" s="8" t="n"/>
      <c r="O804" s="8" t="n"/>
      <c r="P804" s="8" t="n"/>
      <c r="Q804" s="8" t="n"/>
      <c r="R804" s="8" t="n"/>
      <c r="S804" s="8" t="n"/>
      <c r="T804" s="8" t="n"/>
      <c r="U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7">
        <f>IF(OR(F805="",G805=""),"",(G805-F805)*1440)</f>
        <v/>
      </c>
      <c r="I805" s="8" t="n"/>
      <c r="J805" s="8" t="n"/>
      <c r="K805" s="8" t="n"/>
      <c r="L805" s="8" t="n"/>
      <c r="M805" s="8" t="n"/>
      <c r="O805" s="8" t="n"/>
      <c r="P805" s="8" t="n"/>
      <c r="Q805" s="8" t="n"/>
      <c r="R805" s="8" t="n"/>
      <c r="S805" s="8" t="n"/>
      <c r="T805" s="8" t="n"/>
      <c r="U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7">
        <f>IF(OR(F806="",G806=""),"",(G806-F806)*1440)</f>
        <v/>
      </c>
      <c r="I806" s="8" t="n"/>
      <c r="J806" s="8" t="n"/>
      <c r="K806" s="8" t="n"/>
      <c r="L806" s="8" t="n"/>
      <c r="M806" s="8" t="n"/>
      <c r="O806" s="8" t="n"/>
      <c r="P806" s="8" t="n"/>
      <c r="Q806" s="8" t="n"/>
      <c r="R806" s="8" t="n"/>
      <c r="S806" s="8" t="n"/>
      <c r="T806" s="8" t="n"/>
      <c r="U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7">
        <f>IF(OR(F807="",G807=""),"",(G807-F807)*1440)</f>
        <v/>
      </c>
      <c r="I807" s="8" t="n"/>
      <c r="J807" s="8" t="n"/>
      <c r="K807" s="8" t="n"/>
      <c r="L807" s="8" t="n"/>
      <c r="M807" s="8" t="n"/>
      <c r="O807" s="8" t="n"/>
      <c r="P807" s="8" t="n"/>
      <c r="Q807" s="8" t="n"/>
      <c r="R807" s="8" t="n"/>
      <c r="S807" s="8" t="n"/>
      <c r="T807" s="8" t="n"/>
      <c r="U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7">
        <f>IF(OR(F808="",G808=""),"",(G808-F808)*1440)</f>
        <v/>
      </c>
      <c r="I808" s="8" t="n"/>
      <c r="J808" s="8" t="n"/>
      <c r="K808" s="8" t="n"/>
      <c r="L808" s="8" t="n"/>
      <c r="M808" s="8" t="n"/>
      <c r="O808" s="8" t="n"/>
      <c r="P808" s="8" t="n"/>
      <c r="Q808" s="8" t="n"/>
      <c r="R808" s="8" t="n"/>
      <c r="S808" s="8" t="n"/>
      <c r="T808" s="8" t="n"/>
      <c r="U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7">
        <f>IF(OR(F809="",G809=""),"",(G809-F809)*1440)</f>
        <v/>
      </c>
      <c r="I809" s="8" t="n"/>
      <c r="J809" s="8" t="n"/>
      <c r="K809" s="8" t="n"/>
      <c r="L809" s="8" t="n"/>
      <c r="M809" s="8" t="n"/>
      <c r="O809" s="8" t="n"/>
      <c r="P809" s="8" t="n"/>
      <c r="Q809" s="8" t="n"/>
      <c r="R809" s="8" t="n"/>
      <c r="S809" s="8" t="n"/>
      <c r="T809" s="8" t="n"/>
      <c r="U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7">
        <f>IF(OR(F810="",G810=""),"",(G810-F810)*1440)</f>
        <v/>
      </c>
      <c r="I810" s="8" t="n"/>
      <c r="J810" s="8" t="n"/>
      <c r="K810" s="8" t="n"/>
      <c r="L810" s="8" t="n"/>
      <c r="M810" s="8" t="n"/>
      <c r="O810" s="8" t="n"/>
      <c r="P810" s="8" t="n"/>
      <c r="Q810" s="8" t="n"/>
      <c r="R810" s="8" t="n"/>
      <c r="S810" s="8" t="n"/>
      <c r="T810" s="8" t="n"/>
      <c r="U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7">
        <f>IF(OR(F811="",G811=""),"",(G811-F811)*1440)</f>
        <v/>
      </c>
      <c r="I811" s="8" t="n"/>
      <c r="J811" s="8" t="n"/>
      <c r="K811" s="8" t="n"/>
      <c r="L811" s="8" t="n"/>
      <c r="M811" s="8" t="n"/>
      <c r="O811" s="8" t="n"/>
      <c r="P811" s="8" t="n"/>
      <c r="Q811" s="8" t="n"/>
      <c r="R811" s="8" t="n"/>
      <c r="S811" s="8" t="n"/>
      <c r="T811" s="8" t="n"/>
      <c r="U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7">
        <f>IF(OR(F812="",G812=""),"",(G812-F812)*1440)</f>
        <v/>
      </c>
      <c r="I812" s="8" t="n"/>
      <c r="J812" s="8" t="n"/>
      <c r="K812" s="8" t="n"/>
      <c r="L812" s="8" t="n"/>
      <c r="M812" s="8" t="n"/>
      <c r="O812" s="8" t="n"/>
      <c r="P812" s="8" t="n"/>
      <c r="Q812" s="8" t="n"/>
      <c r="R812" s="8" t="n"/>
      <c r="S812" s="8" t="n"/>
      <c r="T812" s="8" t="n"/>
      <c r="U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7">
        <f>IF(OR(F813="",G813=""),"",(G813-F813)*1440)</f>
        <v/>
      </c>
      <c r="I813" s="8" t="n"/>
      <c r="J813" s="8" t="n"/>
      <c r="K813" s="8" t="n"/>
      <c r="L813" s="8" t="n"/>
      <c r="M813" s="8" t="n"/>
      <c r="O813" s="8" t="n"/>
      <c r="P813" s="8" t="n"/>
      <c r="Q813" s="8" t="n"/>
      <c r="R813" s="8" t="n"/>
      <c r="S813" s="8" t="n"/>
      <c r="T813" s="8" t="n"/>
      <c r="U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7">
        <f>IF(OR(F814="",G814=""),"",(G814-F814)*1440)</f>
        <v/>
      </c>
      <c r="I814" s="8" t="n"/>
      <c r="J814" s="8" t="n"/>
      <c r="K814" s="8" t="n"/>
      <c r="L814" s="8" t="n"/>
      <c r="M814" s="8" t="n"/>
      <c r="O814" s="8" t="n"/>
      <c r="P814" s="8" t="n"/>
      <c r="Q814" s="8" t="n"/>
      <c r="R814" s="8" t="n"/>
      <c r="S814" s="8" t="n"/>
      <c r="T814" s="8" t="n"/>
      <c r="U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7">
        <f>IF(OR(F815="",G815=""),"",(G815-F815)*1440)</f>
        <v/>
      </c>
      <c r="I815" s="8" t="n"/>
      <c r="J815" s="8" t="n"/>
      <c r="K815" s="8" t="n"/>
      <c r="L815" s="8" t="n"/>
      <c r="M815" s="8" t="n"/>
      <c r="O815" s="8" t="n"/>
      <c r="P815" s="8" t="n"/>
      <c r="Q815" s="8" t="n"/>
      <c r="R815" s="8" t="n"/>
      <c r="S815" s="8" t="n"/>
      <c r="T815" s="8" t="n"/>
      <c r="U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7">
        <f>IF(OR(F816="",G816=""),"",(G816-F816)*1440)</f>
        <v/>
      </c>
      <c r="I816" s="8" t="n"/>
      <c r="J816" s="8" t="n"/>
      <c r="K816" s="8" t="n"/>
      <c r="L816" s="8" t="n"/>
      <c r="M816" s="8" t="n"/>
      <c r="O816" s="8" t="n"/>
      <c r="P816" s="8" t="n"/>
      <c r="Q816" s="8" t="n"/>
      <c r="R816" s="8" t="n"/>
      <c r="S816" s="8" t="n"/>
      <c r="T816" s="8" t="n"/>
      <c r="U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7">
        <f>IF(OR(F817="",G817=""),"",(G817-F817)*1440)</f>
        <v/>
      </c>
      <c r="I817" s="8" t="n"/>
      <c r="J817" s="8" t="n"/>
      <c r="K817" s="8" t="n"/>
      <c r="L817" s="8" t="n"/>
      <c r="M817" s="8" t="n"/>
      <c r="O817" s="8" t="n"/>
      <c r="P817" s="8" t="n"/>
      <c r="Q817" s="8" t="n"/>
      <c r="R817" s="8" t="n"/>
      <c r="S817" s="8" t="n"/>
      <c r="T817" s="8" t="n"/>
      <c r="U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7">
        <f>IF(OR(F818="",G818=""),"",(G818-F818)*1440)</f>
        <v/>
      </c>
      <c r="I818" s="8" t="n"/>
      <c r="J818" s="8" t="n"/>
      <c r="K818" s="8" t="n"/>
      <c r="L818" s="8" t="n"/>
      <c r="M818" s="8" t="n"/>
      <c r="O818" s="8" t="n"/>
      <c r="P818" s="8" t="n"/>
      <c r="Q818" s="8" t="n"/>
      <c r="R818" s="8" t="n"/>
      <c r="S818" s="8" t="n"/>
      <c r="T818" s="8" t="n"/>
      <c r="U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7">
        <f>IF(OR(F819="",G819=""),"",(G819-F819)*1440)</f>
        <v/>
      </c>
      <c r="I819" s="8" t="n"/>
      <c r="J819" s="8" t="n"/>
      <c r="K819" s="8" t="n"/>
      <c r="L819" s="8" t="n"/>
      <c r="M819" s="8" t="n"/>
      <c r="O819" s="8" t="n"/>
      <c r="P819" s="8" t="n"/>
      <c r="Q819" s="8" t="n"/>
      <c r="R819" s="8" t="n"/>
      <c r="S819" s="8" t="n"/>
      <c r="T819" s="8" t="n"/>
      <c r="U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7">
        <f>IF(OR(F820="",G820=""),"",(G820-F820)*1440)</f>
        <v/>
      </c>
      <c r="I820" s="8" t="n"/>
      <c r="J820" s="8" t="n"/>
      <c r="K820" s="8" t="n"/>
      <c r="L820" s="8" t="n"/>
      <c r="M820" s="8" t="n"/>
      <c r="O820" s="8" t="n"/>
      <c r="P820" s="8" t="n"/>
      <c r="Q820" s="8" t="n"/>
      <c r="R820" s="8" t="n"/>
      <c r="S820" s="8" t="n"/>
      <c r="T820" s="8" t="n"/>
      <c r="U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7">
        <f>IF(OR(F821="",G821=""),"",(G821-F821)*1440)</f>
        <v/>
      </c>
      <c r="I821" s="8" t="n"/>
      <c r="J821" s="8" t="n"/>
      <c r="K821" s="8" t="n"/>
      <c r="L821" s="8" t="n"/>
      <c r="M821" s="8" t="n"/>
      <c r="O821" s="8" t="n"/>
      <c r="P821" s="8" t="n"/>
      <c r="Q821" s="8" t="n"/>
      <c r="R821" s="8" t="n"/>
      <c r="S821" s="8" t="n"/>
      <c r="T821" s="8" t="n"/>
      <c r="U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7">
        <f>IF(OR(F822="",G822=""),"",(G822-F822)*1440)</f>
        <v/>
      </c>
      <c r="I822" s="8" t="n"/>
      <c r="J822" s="8" t="n"/>
      <c r="K822" s="8" t="n"/>
      <c r="L822" s="8" t="n"/>
      <c r="M822" s="8" t="n"/>
      <c r="O822" s="8" t="n"/>
      <c r="P822" s="8" t="n"/>
      <c r="Q822" s="8" t="n"/>
      <c r="R822" s="8" t="n"/>
      <c r="S822" s="8" t="n"/>
      <c r="T822" s="8" t="n"/>
      <c r="U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7">
        <f>IF(OR(F823="",G823=""),"",(G823-F823)*1440)</f>
        <v/>
      </c>
      <c r="I823" s="8" t="n"/>
      <c r="J823" s="8" t="n"/>
      <c r="K823" s="8" t="n"/>
      <c r="L823" s="8" t="n"/>
      <c r="M823" s="8" t="n"/>
      <c r="O823" s="8" t="n"/>
      <c r="P823" s="8" t="n"/>
      <c r="Q823" s="8" t="n"/>
      <c r="R823" s="8" t="n"/>
      <c r="S823" s="8" t="n"/>
      <c r="T823" s="8" t="n"/>
      <c r="U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7">
        <f>IF(OR(F824="",G824=""),"",(G824-F824)*1440)</f>
        <v/>
      </c>
      <c r="I824" s="8" t="n"/>
      <c r="J824" s="8" t="n"/>
      <c r="K824" s="8" t="n"/>
      <c r="L824" s="8" t="n"/>
      <c r="M824" s="8" t="n"/>
      <c r="O824" s="8" t="n"/>
      <c r="P824" s="8" t="n"/>
      <c r="Q824" s="8" t="n"/>
      <c r="R824" s="8" t="n"/>
      <c r="S824" s="8" t="n"/>
      <c r="T824" s="8" t="n"/>
      <c r="U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7">
        <f>IF(OR(F825="",G825=""),"",(G825-F825)*1440)</f>
        <v/>
      </c>
      <c r="I825" s="8" t="n"/>
      <c r="J825" s="8" t="n"/>
      <c r="K825" s="8" t="n"/>
      <c r="L825" s="8" t="n"/>
      <c r="M825" s="8" t="n"/>
      <c r="O825" s="8" t="n"/>
      <c r="P825" s="8" t="n"/>
      <c r="Q825" s="8" t="n"/>
      <c r="R825" s="8" t="n"/>
      <c r="S825" s="8" t="n"/>
      <c r="T825" s="8" t="n"/>
      <c r="U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7">
        <f>IF(OR(F826="",G826=""),"",(G826-F826)*1440)</f>
        <v/>
      </c>
      <c r="I826" s="8" t="n"/>
      <c r="J826" s="8" t="n"/>
      <c r="K826" s="8" t="n"/>
      <c r="L826" s="8" t="n"/>
      <c r="M826" s="8" t="n"/>
      <c r="O826" s="8" t="n"/>
      <c r="P826" s="8" t="n"/>
      <c r="Q826" s="8" t="n"/>
      <c r="R826" s="8" t="n"/>
      <c r="S826" s="8" t="n"/>
      <c r="T826" s="8" t="n"/>
      <c r="U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7">
        <f>IF(OR(F827="",G827=""),"",(G827-F827)*1440)</f>
        <v/>
      </c>
      <c r="I827" s="8" t="n"/>
      <c r="J827" s="8" t="n"/>
      <c r="K827" s="8" t="n"/>
      <c r="L827" s="8" t="n"/>
      <c r="M827" s="8" t="n"/>
      <c r="O827" s="8" t="n"/>
      <c r="P827" s="8" t="n"/>
      <c r="Q827" s="8" t="n"/>
      <c r="R827" s="8" t="n"/>
      <c r="S827" s="8" t="n"/>
      <c r="T827" s="8" t="n"/>
      <c r="U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7">
        <f>IF(OR(F828="",G828=""),"",(G828-F828)*1440)</f>
        <v/>
      </c>
      <c r="I828" s="8" t="n"/>
      <c r="J828" s="8" t="n"/>
      <c r="K828" s="8" t="n"/>
      <c r="L828" s="8" t="n"/>
      <c r="M828" s="8" t="n"/>
      <c r="O828" s="8" t="n"/>
      <c r="P828" s="8" t="n"/>
      <c r="Q828" s="8" t="n"/>
      <c r="R828" s="8" t="n"/>
      <c r="S828" s="8" t="n"/>
      <c r="T828" s="8" t="n"/>
      <c r="U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7">
        <f>IF(OR(F829="",G829=""),"",(G829-F829)*1440)</f>
        <v/>
      </c>
      <c r="I829" s="8" t="n"/>
      <c r="J829" s="8" t="n"/>
      <c r="K829" s="8" t="n"/>
      <c r="L829" s="8" t="n"/>
      <c r="M829" s="8" t="n"/>
      <c r="O829" s="8" t="n"/>
      <c r="P829" s="8" t="n"/>
      <c r="Q829" s="8" t="n"/>
      <c r="R829" s="8" t="n"/>
      <c r="S829" s="8" t="n"/>
      <c r="T829" s="8" t="n"/>
      <c r="U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7">
        <f>IF(OR(F830="",G830=""),"",(G830-F830)*1440)</f>
        <v/>
      </c>
      <c r="I830" s="8" t="n"/>
      <c r="J830" s="8" t="n"/>
      <c r="K830" s="8" t="n"/>
      <c r="L830" s="8" t="n"/>
      <c r="M830" s="8" t="n"/>
      <c r="O830" s="8" t="n"/>
      <c r="P830" s="8" t="n"/>
      <c r="Q830" s="8" t="n"/>
      <c r="R830" s="8" t="n"/>
      <c r="S830" s="8" t="n"/>
      <c r="T830" s="8" t="n"/>
      <c r="U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7">
        <f>IF(OR(F831="",G831=""),"",(G831-F831)*1440)</f>
        <v/>
      </c>
      <c r="I831" s="8" t="n"/>
      <c r="J831" s="8" t="n"/>
      <c r="K831" s="8" t="n"/>
      <c r="L831" s="8" t="n"/>
      <c r="M831" s="8" t="n"/>
      <c r="O831" s="8" t="n"/>
      <c r="P831" s="8" t="n"/>
      <c r="Q831" s="8" t="n"/>
      <c r="R831" s="8" t="n"/>
      <c r="S831" s="8" t="n"/>
      <c r="T831" s="8" t="n"/>
      <c r="U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7">
        <f>IF(OR(F832="",G832=""),"",(G832-F832)*1440)</f>
        <v/>
      </c>
      <c r="I832" s="8" t="n"/>
      <c r="J832" s="8" t="n"/>
      <c r="K832" s="8" t="n"/>
      <c r="L832" s="8" t="n"/>
      <c r="M832" s="8" t="n"/>
      <c r="O832" s="8" t="n"/>
      <c r="P832" s="8" t="n"/>
      <c r="Q832" s="8" t="n"/>
      <c r="R832" s="8" t="n"/>
      <c r="S832" s="8" t="n"/>
      <c r="T832" s="8" t="n"/>
      <c r="U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7">
        <f>IF(OR(F833="",G833=""),"",(G833-F833)*1440)</f>
        <v/>
      </c>
      <c r="I833" s="8" t="n"/>
      <c r="J833" s="8" t="n"/>
      <c r="K833" s="8" t="n"/>
      <c r="L833" s="8" t="n"/>
      <c r="M833" s="8" t="n"/>
      <c r="O833" s="8" t="n"/>
      <c r="P833" s="8" t="n"/>
      <c r="Q833" s="8" t="n"/>
      <c r="R833" s="8" t="n"/>
      <c r="S833" s="8" t="n"/>
      <c r="T833" s="8" t="n"/>
      <c r="U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7">
        <f>IF(OR(F834="",G834=""),"",(G834-F834)*1440)</f>
        <v/>
      </c>
      <c r="I834" s="8" t="n"/>
      <c r="J834" s="8" t="n"/>
      <c r="K834" s="8" t="n"/>
      <c r="L834" s="8" t="n"/>
      <c r="M834" s="8" t="n"/>
      <c r="O834" s="8" t="n"/>
      <c r="P834" s="8" t="n"/>
      <c r="Q834" s="8" t="n"/>
      <c r="R834" s="8" t="n"/>
      <c r="S834" s="8" t="n"/>
      <c r="T834" s="8" t="n"/>
      <c r="U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7">
        <f>IF(OR(F835="",G835=""),"",(G835-F835)*1440)</f>
        <v/>
      </c>
      <c r="I835" s="8" t="n"/>
      <c r="J835" s="8" t="n"/>
      <c r="K835" s="8" t="n"/>
      <c r="L835" s="8" t="n"/>
      <c r="M835" s="8" t="n"/>
      <c r="O835" s="8" t="n"/>
      <c r="P835" s="8" t="n"/>
      <c r="Q835" s="8" t="n"/>
      <c r="R835" s="8" t="n"/>
      <c r="S835" s="8" t="n"/>
      <c r="T835" s="8" t="n"/>
      <c r="U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7">
        <f>IF(OR(F836="",G836=""),"",(G836-F836)*1440)</f>
        <v/>
      </c>
      <c r="I836" s="8" t="n"/>
      <c r="J836" s="8" t="n"/>
      <c r="K836" s="8" t="n"/>
      <c r="L836" s="8" t="n"/>
      <c r="M836" s="8" t="n"/>
      <c r="O836" s="8" t="n"/>
      <c r="P836" s="8" t="n"/>
      <c r="Q836" s="8" t="n"/>
      <c r="R836" s="8" t="n"/>
      <c r="S836" s="8" t="n"/>
      <c r="T836" s="8" t="n"/>
      <c r="U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7">
        <f>IF(OR(F837="",G837=""),"",(G837-F837)*1440)</f>
        <v/>
      </c>
      <c r="I837" s="8" t="n"/>
      <c r="J837" s="8" t="n"/>
      <c r="K837" s="8" t="n"/>
      <c r="L837" s="8" t="n"/>
      <c r="M837" s="8" t="n"/>
      <c r="O837" s="8" t="n"/>
      <c r="P837" s="8" t="n"/>
      <c r="Q837" s="8" t="n"/>
      <c r="R837" s="8" t="n"/>
      <c r="S837" s="8" t="n"/>
      <c r="T837" s="8" t="n"/>
      <c r="U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7">
        <f>IF(OR(F838="",G838=""),"",(G838-F838)*1440)</f>
        <v/>
      </c>
      <c r="I838" s="8" t="n"/>
      <c r="J838" s="8" t="n"/>
      <c r="K838" s="8" t="n"/>
      <c r="L838" s="8" t="n"/>
      <c r="M838" s="8" t="n"/>
      <c r="O838" s="8" t="n"/>
      <c r="P838" s="8" t="n"/>
      <c r="Q838" s="8" t="n"/>
      <c r="R838" s="8" t="n"/>
      <c r="S838" s="8" t="n"/>
      <c r="T838" s="8" t="n"/>
      <c r="U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7">
        <f>IF(OR(F839="",G839=""),"",(G839-F839)*1440)</f>
        <v/>
      </c>
      <c r="I839" s="8" t="n"/>
      <c r="J839" s="8" t="n"/>
      <c r="K839" s="8" t="n"/>
      <c r="L839" s="8" t="n"/>
      <c r="M839" s="8" t="n"/>
      <c r="O839" s="8" t="n"/>
      <c r="P839" s="8" t="n"/>
      <c r="Q839" s="8" t="n"/>
      <c r="R839" s="8" t="n"/>
      <c r="S839" s="8" t="n"/>
      <c r="T839" s="8" t="n"/>
      <c r="U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7">
        <f>IF(OR(F840="",G840=""),"",(G840-F840)*1440)</f>
        <v/>
      </c>
      <c r="I840" s="8" t="n"/>
      <c r="J840" s="8" t="n"/>
      <c r="K840" s="8" t="n"/>
      <c r="L840" s="8" t="n"/>
      <c r="M840" s="8" t="n"/>
      <c r="O840" s="8" t="n"/>
      <c r="P840" s="8" t="n"/>
      <c r="Q840" s="8" t="n"/>
      <c r="R840" s="8" t="n"/>
      <c r="S840" s="8" t="n"/>
      <c r="T840" s="8" t="n"/>
      <c r="U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7">
        <f>IF(OR(F841="",G841=""),"",(G841-F841)*1440)</f>
        <v/>
      </c>
      <c r="I841" s="8" t="n"/>
      <c r="J841" s="8" t="n"/>
      <c r="K841" s="8" t="n"/>
      <c r="L841" s="8" t="n"/>
      <c r="M841" s="8" t="n"/>
      <c r="O841" s="8" t="n"/>
      <c r="P841" s="8" t="n"/>
      <c r="Q841" s="8" t="n"/>
      <c r="R841" s="8" t="n"/>
      <c r="S841" s="8" t="n"/>
      <c r="T841" s="8" t="n"/>
      <c r="U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7">
        <f>IF(OR(F842="",G842=""),"",(G842-F842)*1440)</f>
        <v/>
      </c>
      <c r="I842" s="8" t="n"/>
      <c r="J842" s="8" t="n"/>
      <c r="K842" s="8" t="n"/>
      <c r="L842" s="8" t="n"/>
      <c r="M842" s="8" t="n"/>
      <c r="O842" s="8" t="n"/>
      <c r="P842" s="8" t="n"/>
      <c r="Q842" s="8" t="n"/>
      <c r="R842" s="8" t="n"/>
      <c r="S842" s="8" t="n"/>
      <c r="T842" s="8" t="n"/>
      <c r="U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7">
        <f>IF(OR(F843="",G843=""),"",(G843-F843)*1440)</f>
        <v/>
      </c>
      <c r="I843" s="8" t="n"/>
      <c r="J843" s="8" t="n"/>
      <c r="K843" s="8" t="n"/>
      <c r="L843" s="8" t="n"/>
      <c r="M843" s="8" t="n"/>
      <c r="O843" s="8" t="n"/>
      <c r="P843" s="8" t="n"/>
      <c r="Q843" s="8" t="n"/>
      <c r="R843" s="8" t="n"/>
      <c r="S843" s="8" t="n"/>
      <c r="T843" s="8" t="n"/>
      <c r="U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7">
        <f>IF(OR(F844="",G844=""),"",(G844-F844)*1440)</f>
        <v/>
      </c>
      <c r="I844" s="8" t="n"/>
      <c r="J844" s="8" t="n"/>
      <c r="K844" s="8" t="n"/>
      <c r="L844" s="8" t="n"/>
      <c r="M844" s="8" t="n"/>
      <c r="O844" s="8" t="n"/>
      <c r="P844" s="8" t="n"/>
      <c r="Q844" s="8" t="n"/>
      <c r="R844" s="8" t="n"/>
      <c r="S844" s="8" t="n"/>
      <c r="T844" s="8" t="n"/>
      <c r="U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7">
        <f>IF(OR(F845="",G845=""),"",(G845-F845)*1440)</f>
        <v/>
      </c>
      <c r="I845" s="8" t="n"/>
      <c r="J845" s="8" t="n"/>
      <c r="K845" s="8" t="n"/>
      <c r="L845" s="8" t="n"/>
      <c r="M845" s="8" t="n"/>
      <c r="O845" s="8" t="n"/>
      <c r="P845" s="8" t="n"/>
      <c r="Q845" s="8" t="n"/>
      <c r="R845" s="8" t="n"/>
      <c r="S845" s="8" t="n"/>
      <c r="T845" s="8" t="n"/>
      <c r="U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7">
        <f>IF(OR(F846="",G846=""),"",(G846-F846)*1440)</f>
        <v/>
      </c>
      <c r="I846" s="8" t="n"/>
      <c r="J846" s="8" t="n"/>
      <c r="K846" s="8" t="n"/>
      <c r="L846" s="8" t="n"/>
      <c r="M846" s="8" t="n"/>
      <c r="O846" s="8" t="n"/>
      <c r="P846" s="8" t="n"/>
      <c r="Q846" s="8" t="n"/>
      <c r="R846" s="8" t="n"/>
      <c r="S846" s="8" t="n"/>
      <c r="T846" s="8" t="n"/>
      <c r="U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7">
        <f>IF(OR(F847="",G847=""),"",(G847-F847)*1440)</f>
        <v/>
      </c>
      <c r="I847" s="8" t="n"/>
      <c r="J847" s="8" t="n"/>
      <c r="K847" s="8" t="n"/>
      <c r="L847" s="8" t="n"/>
      <c r="M847" s="8" t="n"/>
      <c r="O847" s="8" t="n"/>
      <c r="P847" s="8" t="n"/>
      <c r="Q847" s="8" t="n"/>
      <c r="R847" s="8" t="n"/>
      <c r="S847" s="8" t="n"/>
      <c r="T847" s="8" t="n"/>
      <c r="U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7">
        <f>IF(OR(F848="",G848=""),"",(G848-F848)*1440)</f>
        <v/>
      </c>
      <c r="I848" s="8" t="n"/>
      <c r="J848" s="8" t="n"/>
      <c r="K848" s="8" t="n"/>
      <c r="L848" s="8" t="n"/>
      <c r="M848" s="8" t="n"/>
      <c r="O848" s="8" t="n"/>
      <c r="P848" s="8" t="n"/>
      <c r="Q848" s="8" t="n"/>
      <c r="R848" s="8" t="n"/>
      <c r="S848" s="8" t="n"/>
      <c r="T848" s="8" t="n"/>
      <c r="U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7">
        <f>IF(OR(F849="",G849=""),"",(G849-F849)*1440)</f>
        <v/>
      </c>
      <c r="I849" s="8" t="n"/>
      <c r="J849" s="8" t="n"/>
      <c r="K849" s="8" t="n"/>
      <c r="L849" s="8" t="n"/>
      <c r="M849" s="8" t="n"/>
      <c r="O849" s="8" t="n"/>
      <c r="P849" s="8" t="n"/>
      <c r="Q849" s="8" t="n"/>
      <c r="R849" s="8" t="n"/>
      <c r="S849" s="8" t="n"/>
      <c r="T849" s="8" t="n"/>
      <c r="U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7">
        <f>IF(OR(F850="",G850=""),"",(G850-F850)*1440)</f>
        <v/>
      </c>
      <c r="I850" s="8" t="n"/>
      <c r="J850" s="8" t="n"/>
      <c r="K850" s="8" t="n"/>
      <c r="L850" s="8" t="n"/>
      <c r="M850" s="8" t="n"/>
      <c r="O850" s="8" t="n"/>
      <c r="P850" s="8" t="n"/>
      <c r="Q850" s="8" t="n"/>
      <c r="R850" s="8" t="n"/>
      <c r="S850" s="8" t="n"/>
      <c r="T850" s="8" t="n"/>
      <c r="U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7">
        <f>IF(OR(F851="",G851=""),"",(G851-F851)*1440)</f>
        <v/>
      </c>
      <c r="I851" s="8" t="n"/>
      <c r="J851" s="8" t="n"/>
      <c r="K851" s="8" t="n"/>
      <c r="L851" s="8" t="n"/>
      <c r="M851" s="8" t="n"/>
      <c r="O851" s="8" t="n"/>
      <c r="P851" s="8" t="n"/>
      <c r="Q851" s="8" t="n"/>
      <c r="R851" s="8" t="n"/>
      <c r="S851" s="8" t="n"/>
      <c r="T851" s="8" t="n"/>
      <c r="U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7">
        <f>IF(OR(F852="",G852=""),"",(G852-F852)*1440)</f>
        <v/>
      </c>
      <c r="I852" s="8" t="n"/>
      <c r="J852" s="8" t="n"/>
      <c r="K852" s="8" t="n"/>
      <c r="L852" s="8" t="n"/>
      <c r="M852" s="8" t="n"/>
      <c r="O852" s="8" t="n"/>
      <c r="P852" s="8" t="n"/>
      <c r="Q852" s="8" t="n"/>
      <c r="R852" s="8" t="n"/>
      <c r="S852" s="8" t="n"/>
      <c r="T852" s="8" t="n"/>
      <c r="U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7">
        <f>IF(OR(F853="",G853=""),"",(G853-F853)*1440)</f>
        <v/>
      </c>
      <c r="I853" s="8" t="n"/>
      <c r="J853" s="8" t="n"/>
      <c r="K853" s="8" t="n"/>
      <c r="L853" s="8" t="n"/>
      <c r="M853" s="8" t="n"/>
      <c r="O853" s="8" t="n"/>
      <c r="P853" s="8" t="n"/>
      <c r="Q853" s="8" t="n"/>
      <c r="R853" s="8" t="n"/>
      <c r="S853" s="8" t="n"/>
      <c r="T853" s="8" t="n"/>
      <c r="U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7">
        <f>IF(OR(F854="",G854=""),"",(G854-F854)*1440)</f>
        <v/>
      </c>
      <c r="I854" s="8" t="n"/>
      <c r="J854" s="8" t="n"/>
      <c r="K854" s="8" t="n"/>
      <c r="L854" s="8" t="n"/>
      <c r="M854" s="8" t="n"/>
      <c r="O854" s="8" t="n"/>
      <c r="P854" s="8" t="n"/>
      <c r="Q854" s="8" t="n"/>
      <c r="R854" s="8" t="n"/>
      <c r="S854" s="8" t="n"/>
      <c r="T854" s="8" t="n"/>
      <c r="U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7">
        <f>IF(OR(F855="",G855=""),"",(G855-F855)*1440)</f>
        <v/>
      </c>
      <c r="I855" s="8" t="n"/>
      <c r="J855" s="8" t="n"/>
      <c r="K855" s="8" t="n"/>
      <c r="L855" s="8" t="n"/>
      <c r="M855" s="8" t="n"/>
      <c r="O855" s="8" t="n"/>
      <c r="P855" s="8" t="n"/>
      <c r="Q855" s="8" t="n"/>
      <c r="R855" s="8" t="n"/>
      <c r="S855" s="8" t="n"/>
      <c r="T855" s="8" t="n"/>
      <c r="U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7">
        <f>IF(OR(F856="",G856=""),"",(G856-F856)*1440)</f>
        <v/>
      </c>
      <c r="I856" s="8" t="n"/>
      <c r="J856" s="8" t="n"/>
      <c r="K856" s="8" t="n"/>
      <c r="L856" s="8" t="n"/>
      <c r="M856" s="8" t="n"/>
      <c r="O856" s="8" t="n"/>
      <c r="P856" s="8" t="n"/>
      <c r="Q856" s="8" t="n"/>
      <c r="R856" s="8" t="n"/>
      <c r="S856" s="8" t="n"/>
      <c r="T856" s="8" t="n"/>
      <c r="U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7">
        <f>IF(OR(F857="",G857=""),"",(G857-F857)*1440)</f>
        <v/>
      </c>
      <c r="I857" s="8" t="n"/>
      <c r="J857" s="8" t="n"/>
      <c r="K857" s="8" t="n"/>
      <c r="L857" s="8" t="n"/>
      <c r="M857" s="8" t="n"/>
      <c r="O857" s="8" t="n"/>
      <c r="P857" s="8" t="n"/>
      <c r="Q857" s="8" t="n"/>
      <c r="R857" s="8" t="n"/>
      <c r="S857" s="8" t="n"/>
      <c r="T857" s="8" t="n"/>
      <c r="U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7">
        <f>IF(OR(F858="",G858=""),"",(G858-F858)*1440)</f>
        <v/>
      </c>
      <c r="I858" s="8" t="n"/>
      <c r="J858" s="8" t="n"/>
      <c r="K858" s="8" t="n"/>
      <c r="L858" s="8" t="n"/>
      <c r="M858" s="8" t="n"/>
      <c r="O858" s="8" t="n"/>
      <c r="P858" s="8" t="n"/>
      <c r="Q858" s="8" t="n"/>
      <c r="R858" s="8" t="n"/>
      <c r="S858" s="8" t="n"/>
      <c r="T858" s="8" t="n"/>
      <c r="U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7">
        <f>IF(OR(F859="",G859=""),"",(G859-F859)*1440)</f>
        <v/>
      </c>
      <c r="I859" s="8" t="n"/>
      <c r="J859" s="8" t="n"/>
      <c r="K859" s="8" t="n"/>
      <c r="L859" s="8" t="n"/>
      <c r="M859" s="8" t="n"/>
      <c r="O859" s="8" t="n"/>
      <c r="P859" s="8" t="n"/>
      <c r="Q859" s="8" t="n"/>
      <c r="R859" s="8" t="n"/>
      <c r="S859" s="8" t="n"/>
      <c r="T859" s="8" t="n"/>
      <c r="U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7">
        <f>IF(OR(F860="",G860=""),"",(G860-F860)*1440)</f>
        <v/>
      </c>
      <c r="I860" s="8" t="n"/>
      <c r="J860" s="8" t="n"/>
      <c r="K860" s="8" t="n"/>
      <c r="L860" s="8" t="n"/>
      <c r="M860" s="8" t="n"/>
      <c r="O860" s="8" t="n"/>
      <c r="P860" s="8" t="n"/>
      <c r="Q860" s="8" t="n"/>
      <c r="R860" s="8" t="n"/>
      <c r="S860" s="8" t="n"/>
      <c r="T860" s="8" t="n"/>
      <c r="U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7">
        <f>IF(OR(F861="",G861=""),"",(G861-F861)*1440)</f>
        <v/>
      </c>
      <c r="I861" s="8" t="n"/>
      <c r="J861" s="8" t="n"/>
      <c r="K861" s="8" t="n"/>
      <c r="L861" s="8" t="n"/>
      <c r="M861" s="8" t="n"/>
      <c r="O861" s="8" t="n"/>
      <c r="P861" s="8" t="n"/>
      <c r="Q861" s="8" t="n"/>
      <c r="R861" s="8" t="n"/>
      <c r="S861" s="8" t="n"/>
      <c r="T861" s="8" t="n"/>
      <c r="U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7">
        <f>IF(OR(F862="",G862=""),"",(G862-F862)*1440)</f>
        <v/>
      </c>
      <c r="I862" s="8" t="n"/>
      <c r="J862" s="8" t="n"/>
      <c r="K862" s="8" t="n"/>
      <c r="L862" s="8" t="n"/>
      <c r="M862" s="8" t="n"/>
      <c r="O862" s="8" t="n"/>
      <c r="P862" s="8" t="n"/>
      <c r="Q862" s="8" t="n"/>
      <c r="R862" s="8" t="n"/>
      <c r="S862" s="8" t="n"/>
      <c r="T862" s="8" t="n"/>
      <c r="U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7">
        <f>IF(OR(F863="",G863=""),"",(G863-F863)*1440)</f>
        <v/>
      </c>
      <c r="I863" s="8" t="n"/>
      <c r="J863" s="8" t="n"/>
      <c r="K863" s="8" t="n"/>
      <c r="L863" s="8" t="n"/>
      <c r="M863" s="8" t="n"/>
      <c r="O863" s="8" t="n"/>
      <c r="P863" s="8" t="n"/>
      <c r="Q863" s="8" t="n"/>
      <c r="R863" s="8" t="n"/>
      <c r="S863" s="8" t="n"/>
      <c r="T863" s="8" t="n"/>
      <c r="U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7">
        <f>IF(OR(F864="",G864=""),"",(G864-F864)*1440)</f>
        <v/>
      </c>
      <c r="I864" s="8" t="n"/>
      <c r="J864" s="8" t="n"/>
      <c r="K864" s="8" t="n"/>
      <c r="L864" s="8" t="n"/>
      <c r="M864" s="8" t="n"/>
      <c r="O864" s="8" t="n"/>
      <c r="P864" s="8" t="n"/>
      <c r="Q864" s="8" t="n"/>
      <c r="R864" s="8" t="n"/>
      <c r="S864" s="8" t="n"/>
      <c r="T864" s="8" t="n"/>
      <c r="U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7">
        <f>IF(OR(F865="",G865=""),"",(G865-F865)*1440)</f>
        <v/>
      </c>
      <c r="I865" s="8" t="n"/>
      <c r="J865" s="8" t="n"/>
      <c r="K865" s="8" t="n"/>
      <c r="L865" s="8" t="n"/>
      <c r="M865" s="8" t="n"/>
      <c r="O865" s="8" t="n"/>
      <c r="P865" s="8" t="n"/>
      <c r="Q865" s="8" t="n"/>
      <c r="R865" s="8" t="n"/>
      <c r="S865" s="8" t="n"/>
      <c r="T865" s="8" t="n"/>
      <c r="U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7">
        <f>IF(OR(F866="",G866=""),"",(G866-F866)*1440)</f>
        <v/>
      </c>
      <c r="I866" s="8" t="n"/>
      <c r="J866" s="8" t="n"/>
      <c r="K866" s="8" t="n"/>
      <c r="L866" s="8" t="n"/>
      <c r="M866" s="8" t="n"/>
      <c r="O866" s="8" t="n"/>
      <c r="P866" s="8" t="n"/>
      <c r="Q866" s="8" t="n"/>
      <c r="R866" s="8" t="n"/>
      <c r="S866" s="8" t="n"/>
      <c r="T866" s="8" t="n"/>
      <c r="U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7">
        <f>IF(OR(F867="",G867=""),"",(G867-F867)*1440)</f>
        <v/>
      </c>
      <c r="I867" s="8" t="n"/>
      <c r="J867" s="8" t="n"/>
      <c r="K867" s="8" t="n"/>
      <c r="L867" s="8" t="n"/>
      <c r="M867" s="8" t="n"/>
      <c r="O867" s="8" t="n"/>
      <c r="P867" s="8" t="n"/>
      <c r="Q867" s="8" t="n"/>
      <c r="R867" s="8" t="n"/>
      <c r="S867" s="8" t="n"/>
      <c r="T867" s="8" t="n"/>
      <c r="U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7">
        <f>IF(OR(F868="",G868=""),"",(G868-F868)*1440)</f>
        <v/>
      </c>
      <c r="I868" s="8" t="n"/>
      <c r="J868" s="8" t="n"/>
      <c r="K868" s="8" t="n"/>
      <c r="L868" s="8" t="n"/>
      <c r="M868" s="8" t="n"/>
      <c r="O868" s="8" t="n"/>
      <c r="P868" s="8" t="n"/>
      <c r="Q868" s="8" t="n"/>
      <c r="R868" s="8" t="n"/>
      <c r="S868" s="8" t="n"/>
      <c r="T868" s="8" t="n"/>
      <c r="U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7">
        <f>IF(OR(F869="",G869=""),"",(G869-F869)*1440)</f>
        <v/>
      </c>
      <c r="I869" s="8" t="n"/>
      <c r="J869" s="8" t="n"/>
      <c r="K869" s="8" t="n"/>
      <c r="L869" s="8" t="n"/>
      <c r="M869" s="8" t="n"/>
      <c r="O869" s="8" t="n"/>
      <c r="P869" s="8" t="n"/>
      <c r="Q869" s="8" t="n"/>
      <c r="R869" s="8" t="n"/>
      <c r="S869" s="8" t="n"/>
      <c r="T869" s="8" t="n"/>
      <c r="U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7">
        <f>IF(OR(F870="",G870=""),"",(G870-F870)*1440)</f>
        <v/>
      </c>
      <c r="I870" s="8" t="n"/>
      <c r="J870" s="8" t="n"/>
      <c r="K870" s="8" t="n"/>
      <c r="L870" s="8" t="n"/>
      <c r="M870" s="8" t="n"/>
      <c r="O870" s="8" t="n"/>
      <c r="P870" s="8" t="n"/>
      <c r="Q870" s="8" t="n"/>
      <c r="R870" s="8" t="n"/>
      <c r="S870" s="8" t="n"/>
      <c r="T870" s="8" t="n"/>
      <c r="U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7">
        <f>IF(OR(F871="",G871=""),"",(G871-F871)*1440)</f>
        <v/>
      </c>
      <c r="I871" s="8" t="n"/>
      <c r="J871" s="8" t="n"/>
      <c r="K871" s="8" t="n"/>
      <c r="L871" s="8" t="n"/>
      <c r="M871" s="8" t="n"/>
      <c r="O871" s="8" t="n"/>
      <c r="P871" s="8" t="n"/>
      <c r="Q871" s="8" t="n"/>
      <c r="R871" s="8" t="n"/>
      <c r="S871" s="8" t="n"/>
      <c r="T871" s="8" t="n"/>
      <c r="U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7">
        <f>IF(OR(F872="",G872=""),"",(G872-F872)*1440)</f>
        <v/>
      </c>
      <c r="I872" s="8" t="n"/>
      <c r="J872" s="8" t="n"/>
      <c r="K872" s="8" t="n"/>
      <c r="L872" s="8" t="n"/>
      <c r="M872" s="8" t="n"/>
      <c r="O872" s="8" t="n"/>
      <c r="P872" s="8" t="n"/>
      <c r="Q872" s="8" t="n"/>
      <c r="R872" s="8" t="n"/>
      <c r="S872" s="8" t="n"/>
      <c r="T872" s="8" t="n"/>
      <c r="U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7">
        <f>IF(OR(F873="",G873=""),"",(G873-F873)*1440)</f>
        <v/>
      </c>
      <c r="I873" s="8" t="n"/>
      <c r="J873" s="8" t="n"/>
      <c r="K873" s="8" t="n"/>
      <c r="L873" s="8" t="n"/>
      <c r="M873" s="8" t="n"/>
      <c r="O873" s="8" t="n"/>
      <c r="P873" s="8" t="n"/>
      <c r="Q873" s="8" t="n"/>
      <c r="R873" s="8" t="n"/>
      <c r="S873" s="8" t="n"/>
      <c r="T873" s="8" t="n"/>
      <c r="U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7">
        <f>IF(OR(F874="",G874=""),"",(G874-F874)*1440)</f>
        <v/>
      </c>
      <c r="I874" s="8" t="n"/>
      <c r="J874" s="8" t="n"/>
      <c r="K874" s="8" t="n"/>
      <c r="L874" s="8" t="n"/>
      <c r="M874" s="8" t="n"/>
      <c r="O874" s="8" t="n"/>
      <c r="P874" s="8" t="n"/>
      <c r="Q874" s="8" t="n"/>
      <c r="R874" s="8" t="n"/>
      <c r="S874" s="8" t="n"/>
      <c r="T874" s="8" t="n"/>
      <c r="U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7">
        <f>IF(OR(F875="",G875=""),"",(G875-F875)*1440)</f>
        <v/>
      </c>
      <c r="I875" s="8" t="n"/>
      <c r="J875" s="8" t="n"/>
      <c r="K875" s="8" t="n"/>
      <c r="L875" s="8" t="n"/>
      <c r="M875" s="8" t="n"/>
      <c r="O875" s="8" t="n"/>
      <c r="P875" s="8" t="n"/>
      <c r="Q875" s="8" t="n"/>
      <c r="R875" s="8" t="n"/>
      <c r="S875" s="8" t="n"/>
      <c r="T875" s="8" t="n"/>
      <c r="U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7">
        <f>IF(OR(F876="",G876=""),"",(G876-F876)*1440)</f>
        <v/>
      </c>
      <c r="I876" s="8" t="n"/>
      <c r="J876" s="8" t="n"/>
      <c r="K876" s="8" t="n"/>
      <c r="L876" s="8" t="n"/>
      <c r="M876" s="8" t="n"/>
      <c r="O876" s="8" t="n"/>
      <c r="P876" s="8" t="n"/>
      <c r="Q876" s="8" t="n"/>
      <c r="R876" s="8" t="n"/>
      <c r="S876" s="8" t="n"/>
      <c r="T876" s="8" t="n"/>
      <c r="U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7">
        <f>IF(OR(F877="",G877=""),"",(G877-F877)*1440)</f>
        <v/>
      </c>
      <c r="I877" s="8" t="n"/>
      <c r="J877" s="8" t="n"/>
      <c r="K877" s="8" t="n"/>
      <c r="L877" s="8" t="n"/>
      <c r="M877" s="8" t="n"/>
      <c r="O877" s="8" t="n"/>
      <c r="P877" s="8" t="n"/>
      <c r="Q877" s="8" t="n"/>
      <c r="R877" s="8" t="n"/>
      <c r="S877" s="8" t="n"/>
      <c r="T877" s="8" t="n"/>
      <c r="U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7">
        <f>IF(OR(F878="",G878=""),"",(G878-F878)*1440)</f>
        <v/>
      </c>
      <c r="I878" s="8" t="n"/>
      <c r="J878" s="8" t="n"/>
      <c r="K878" s="8" t="n"/>
      <c r="L878" s="8" t="n"/>
      <c r="M878" s="8" t="n"/>
      <c r="O878" s="8" t="n"/>
      <c r="P878" s="8" t="n"/>
      <c r="Q878" s="8" t="n"/>
      <c r="R878" s="8" t="n"/>
      <c r="S878" s="8" t="n"/>
      <c r="T878" s="8" t="n"/>
      <c r="U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7">
        <f>IF(OR(F879="",G879=""),"",(G879-F879)*1440)</f>
        <v/>
      </c>
      <c r="I879" s="8" t="n"/>
      <c r="J879" s="8" t="n"/>
      <c r="K879" s="8" t="n"/>
      <c r="L879" s="8" t="n"/>
      <c r="M879" s="8" t="n"/>
      <c r="O879" s="8" t="n"/>
      <c r="P879" s="8" t="n"/>
      <c r="Q879" s="8" t="n"/>
      <c r="R879" s="8" t="n"/>
      <c r="S879" s="8" t="n"/>
      <c r="T879" s="8" t="n"/>
      <c r="U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7">
        <f>IF(OR(F880="",G880=""),"",(G880-F880)*1440)</f>
        <v/>
      </c>
      <c r="I880" s="8" t="n"/>
      <c r="J880" s="8" t="n"/>
      <c r="K880" s="8" t="n"/>
      <c r="L880" s="8" t="n"/>
      <c r="M880" s="8" t="n"/>
      <c r="O880" s="8" t="n"/>
      <c r="P880" s="8" t="n"/>
      <c r="Q880" s="8" t="n"/>
      <c r="R880" s="8" t="n"/>
      <c r="S880" s="8" t="n"/>
      <c r="T880" s="8" t="n"/>
      <c r="U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7">
        <f>IF(OR(F881="",G881=""),"",(G881-F881)*1440)</f>
        <v/>
      </c>
      <c r="I881" s="8" t="n"/>
      <c r="J881" s="8" t="n"/>
      <c r="K881" s="8" t="n"/>
      <c r="L881" s="8" t="n"/>
      <c r="M881" s="8" t="n"/>
      <c r="O881" s="8" t="n"/>
      <c r="P881" s="8" t="n"/>
      <c r="Q881" s="8" t="n"/>
      <c r="R881" s="8" t="n"/>
      <c r="S881" s="8" t="n"/>
      <c r="T881" s="8" t="n"/>
      <c r="U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7">
        <f>IF(OR(F882="",G882=""),"",(G882-F882)*1440)</f>
        <v/>
      </c>
      <c r="I882" s="8" t="n"/>
      <c r="J882" s="8" t="n"/>
      <c r="K882" s="8" t="n"/>
      <c r="L882" s="8" t="n"/>
      <c r="M882" s="8" t="n"/>
      <c r="O882" s="8" t="n"/>
      <c r="P882" s="8" t="n"/>
      <c r="Q882" s="8" t="n"/>
      <c r="R882" s="8" t="n"/>
      <c r="S882" s="8" t="n"/>
      <c r="T882" s="8" t="n"/>
      <c r="U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7">
        <f>IF(OR(F883="",G883=""),"",(G883-F883)*1440)</f>
        <v/>
      </c>
      <c r="I883" s="8" t="n"/>
      <c r="J883" s="8" t="n"/>
      <c r="K883" s="8" t="n"/>
      <c r="L883" s="8" t="n"/>
      <c r="M883" s="8" t="n"/>
      <c r="O883" s="8" t="n"/>
      <c r="P883" s="8" t="n"/>
      <c r="Q883" s="8" t="n"/>
      <c r="R883" s="8" t="n"/>
      <c r="S883" s="8" t="n"/>
      <c r="T883" s="8" t="n"/>
      <c r="U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7">
        <f>IF(OR(F884="",G884=""),"",(G884-F884)*1440)</f>
        <v/>
      </c>
      <c r="I884" s="8" t="n"/>
      <c r="J884" s="8" t="n"/>
      <c r="K884" s="8" t="n"/>
      <c r="L884" s="8" t="n"/>
      <c r="M884" s="8" t="n"/>
      <c r="O884" s="8" t="n"/>
      <c r="P884" s="8" t="n"/>
      <c r="Q884" s="8" t="n"/>
      <c r="R884" s="8" t="n"/>
      <c r="S884" s="8" t="n"/>
      <c r="T884" s="8" t="n"/>
      <c r="U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7">
        <f>IF(OR(F885="",G885=""),"",(G885-F885)*1440)</f>
        <v/>
      </c>
      <c r="I885" s="8" t="n"/>
      <c r="J885" s="8" t="n"/>
      <c r="K885" s="8" t="n"/>
      <c r="L885" s="8" t="n"/>
      <c r="M885" s="8" t="n"/>
      <c r="O885" s="8" t="n"/>
      <c r="P885" s="8" t="n"/>
      <c r="Q885" s="8" t="n"/>
      <c r="R885" s="8" t="n"/>
      <c r="S885" s="8" t="n"/>
      <c r="T885" s="8" t="n"/>
      <c r="U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7">
        <f>IF(OR(F886="",G886=""),"",(G886-F886)*1440)</f>
        <v/>
      </c>
      <c r="I886" s="8" t="n"/>
      <c r="J886" s="8" t="n"/>
      <c r="K886" s="8" t="n"/>
      <c r="L886" s="8" t="n"/>
      <c r="M886" s="8" t="n"/>
      <c r="O886" s="8" t="n"/>
      <c r="P886" s="8" t="n"/>
      <c r="Q886" s="8" t="n"/>
      <c r="R886" s="8" t="n"/>
      <c r="S886" s="8" t="n"/>
      <c r="T886" s="8" t="n"/>
      <c r="U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7">
        <f>IF(OR(F887="",G887=""),"",(G887-F887)*1440)</f>
        <v/>
      </c>
      <c r="I887" s="8" t="n"/>
      <c r="J887" s="8" t="n"/>
      <c r="K887" s="8" t="n"/>
      <c r="L887" s="8" t="n"/>
      <c r="M887" s="8" t="n"/>
      <c r="O887" s="8" t="n"/>
      <c r="P887" s="8" t="n"/>
      <c r="Q887" s="8" t="n"/>
      <c r="R887" s="8" t="n"/>
      <c r="S887" s="8" t="n"/>
      <c r="T887" s="8" t="n"/>
      <c r="U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7">
        <f>IF(OR(F888="",G888=""),"",(G888-F888)*1440)</f>
        <v/>
      </c>
      <c r="I888" s="8" t="n"/>
      <c r="J888" s="8" t="n"/>
      <c r="K888" s="8" t="n"/>
      <c r="L888" s="8" t="n"/>
      <c r="M888" s="8" t="n"/>
      <c r="O888" s="8" t="n"/>
      <c r="P888" s="8" t="n"/>
      <c r="Q888" s="8" t="n"/>
      <c r="R888" s="8" t="n"/>
      <c r="S888" s="8" t="n"/>
      <c r="T888" s="8" t="n"/>
      <c r="U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7">
        <f>IF(OR(F889="",G889=""),"",(G889-F889)*1440)</f>
        <v/>
      </c>
      <c r="I889" s="8" t="n"/>
      <c r="J889" s="8" t="n"/>
      <c r="K889" s="8" t="n"/>
      <c r="L889" s="8" t="n"/>
      <c r="M889" s="8" t="n"/>
      <c r="O889" s="8" t="n"/>
      <c r="P889" s="8" t="n"/>
      <c r="Q889" s="8" t="n"/>
      <c r="R889" s="8" t="n"/>
      <c r="S889" s="8" t="n"/>
      <c r="T889" s="8" t="n"/>
      <c r="U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7">
        <f>IF(OR(F890="",G890=""),"",(G890-F890)*1440)</f>
        <v/>
      </c>
      <c r="I890" s="8" t="n"/>
      <c r="J890" s="8" t="n"/>
      <c r="K890" s="8" t="n"/>
      <c r="L890" s="8" t="n"/>
      <c r="M890" s="8" t="n"/>
      <c r="O890" s="8" t="n"/>
      <c r="P890" s="8" t="n"/>
      <c r="Q890" s="8" t="n"/>
      <c r="R890" s="8" t="n"/>
      <c r="S890" s="8" t="n"/>
      <c r="T890" s="8" t="n"/>
      <c r="U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7">
        <f>IF(OR(F891="",G891=""),"",(G891-F891)*1440)</f>
        <v/>
      </c>
      <c r="I891" s="8" t="n"/>
      <c r="J891" s="8" t="n"/>
      <c r="K891" s="8" t="n"/>
      <c r="L891" s="8" t="n"/>
      <c r="M891" s="8" t="n"/>
      <c r="O891" s="8" t="n"/>
      <c r="P891" s="8" t="n"/>
      <c r="Q891" s="8" t="n"/>
      <c r="R891" s="8" t="n"/>
      <c r="S891" s="8" t="n"/>
      <c r="T891" s="8" t="n"/>
      <c r="U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7">
        <f>IF(OR(F892="",G892=""),"",(G892-F892)*1440)</f>
        <v/>
      </c>
      <c r="I892" s="8" t="n"/>
      <c r="J892" s="8" t="n"/>
      <c r="K892" s="8" t="n"/>
      <c r="L892" s="8" t="n"/>
      <c r="M892" s="8" t="n"/>
      <c r="O892" s="8" t="n"/>
      <c r="P892" s="8" t="n"/>
      <c r="Q892" s="8" t="n"/>
      <c r="R892" s="8" t="n"/>
      <c r="S892" s="8" t="n"/>
      <c r="T892" s="8" t="n"/>
      <c r="U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7">
        <f>IF(OR(F893="",G893=""),"",(G893-F893)*1440)</f>
        <v/>
      </c>
      <c r="I893" s="8" t="n"/>
      <c r="J893" s="8" t="n"/>
      <c r="K893" s="8" t="n"/>
      <c r="L893" s="8" t="n"/>
      <c r="M893" s="8" t="n"/>
      <c r="O893" s="8" t="n"/>
      <c r="P893" s="8" t="n"/>
      <c r="Q893" s="8" t="n"/>
      <c r="R893" s="8" t="n"/>
      <c r="S893" s="8" t="n"/>
      <c r="T893" s="8" t="n"/>
      <c r="U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7">
        <f>IF(OR(F894="",G894=""),"",(G894-F894)*1440)</f>
        <v/>
      </c>
      <c r="I894" s="8" t="n"/>
      <c r="J894" s="8" t="n"/>
      <c r="K894" s="8" t="n"/>
      <c r="L894" s="8" t="n"/>
      <c r="M894" s="8" t="n"/>
      <c r="O894" s="8" t="n"/>
      <c r="P894" s="8" t="n"/>
      <c r="Q894" s="8" t="n"/>
      <c r="R894" s="8" t="n"/>
      <c r="S894" s="8" t="n"/>
      <c r="T894" s="8" t="n"/>
      <c r="U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7">
        <f>IF(OR(F895="",G895=""),"",(G895-F895)*1440)</f>
        <v/>
      </c>
      <c r="I895" s="8" t="n"/>
      <c r="J895" s="8" t="n"/>
      <c r="K895" s="8" t="n"/>
      <c r="L895" s="8" t="n"/>
      <c r="M895" s="8" t="n"/>
      <c r="O895" s="8" t="n"/>
      <c r="P895" s="8" t="n"/>
      <c r="Q895" s="8" t="n"/>
      <c r="R895" s="8" t="n"/>
      <c r="S895" s="8" t="n"/>
      <c r="T895" s="8" t="n"/>
      <c r="U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7">
        <f>IF(OR(F896="",G896=""),"",(G896-F896)*1440)</f>
        <v/>
      </c>
      <c r="I896" s="8" t="n"/>
      <c r="J896" s="8" t="n"/>
      <c r="K896" s="8" t="n"/>
      <c r="L896" s="8" t="n"/>
      <c r="M896" s="8" t="n"/>
      <c r="O896" s="8" t="n"/>
      <c r="P896" s="8" t="n"/>
      <c r="Q896" s="8" t="n"/>
      <c r="R896" s="8" t="n"/>
      <c r="S896" s="8" t="n"/>
      <c r="T896" s="8" t="n"/>
      <c r="U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7">
        <f>IF(OR(F897="",G897=""),"",(G897-F897)*1440)</f>
        <v/>
      </c>
      <c r="I897" s="8" t="n"/>
      <c r="J897" s="8" t="n"/>
      <c r="K897" s="8" t="n"/>
      <c r="L897" s="8" t="n"/>
      <c r="M897" s="8" t="n"/>
      <c r="O897" s="8" t="n"/>
      <c r="P897" s="8" t="n"/>
      <c r="Q897" s="8" t="n"/>
      <c r="R897" s="8" t="n"/>
      <c r="S897" s="8" t="n"/>
      <c r="T897" s="8" t="n"/>
      <c r="U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7">
        <f>IF(OR(F898="",G898=""),"",(G898-F898)*1440)</f>
        <v/>
      </c>
      <c r="I898" s="8" t="n"/>
      <c r="J898" s="8" t="n"/>
      <c r="K898" s="8" t="n"/>
      <c r="L898" s="8" t="n"/>
      <c r="M898" s="8" t="n"/>
      <c r="O898" s="8" t="n"/>
      <c r="P898" s="8" t="n"/>
      <c r="Q898" s="8" t="n"/>
      <c r="R898" s="8" t="n"/>
      <c r="S898" s="8" t="n"/>
      <c r="T898" s="8" t="n"/>
      <c r="U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7">
        <f>IF(OR(F899="",G899=""),"",(G899-F899)*1440)</f>
        <v/>
      </c>
      <c r="I899" s="8" t="n"/>
      <c r="J899" s="8" t="n"/>
      <c r="K899" s="8" t="n"/>
      <c r="L899" s="8" t="n"/>
      <c r="M899" s="8" t="n"/>
      <c r="O899" s="8" t="n"/>
      <c r="P899" s="8" t="n"/>
      <c r="Q899" s="8" t="n"/>
      <c r="R899" s="8" t="n"/>
      <c r="S899" s="8" t="n"/>
      <c r="T899" s="8" t="n"/>
      <c r="U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7">
        <f>IF(OR(F900="",G900=""),"",(G900-F900)*1440)</f>
        <v/>
      </c>
      <c r="I900" s="8" t="n"/>
      <c r="J900" s="8" t="n"/>
      <c r="K900" s="8" t="n"/>
      <c r="L900" s="8" t="n"/>
      <c r="M900" s="8" t="n"/>
      <c r="O900" s="8" t="n"/>
      <c r="P900" s="8" t="n"/>
      <c r="Q900" s="8" t="n"/>
      <c r="R900" s="8" t="n"/>
      <c r="S900" s="8" t="n"/>
      <c r="T900" s="8" t="n"/>
      <c r="U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7">
        <f>IF(OR(F901="",G901=""),"",(G901-F901)*1440)</f>
        <v/>
      </c>
      <c r="I901" s="8" t="n"/>
      <c r="J901" s="8" t="n"/>
      <c r="K901" s="8" t="n"/>
      <c r="L901" s="8" t="n"/>
      <c r="M901" s="8" t="n"/>
      <c r="O901" s="8" t="n"/>
      <c r="P901" s="8" t="n"/>
      <c r="Q901" s="8" t="n"/>
      <c r="R901" s="8" t="n"/>
      <c r="S901" s="8" t="n"/>
      <c r="T901" s="8" t="n"/>
      <c r="U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7">
        <f>IF(OR(F902="",G902=""),"",(G902-F902)*1440)</f>
        <v/>
      </c>
      <c r="I902" s="8" t="n"/>
      <c r="J902" s="8" t="n"/>
      <c r="K902" s="8" t="n"/>
      <c r="L902" s="8" t="n"/>
      <c r="M902" s="8" t="n"/>
      <c r="O902" s="8" t="n"/>
      <c r="P902" s="8" t="n"/>
      <c r="Q902" s="8" t="n"/>
      <c r="R902" s="8" t="n"/>
      <c r="S902" s="8" t="n"/>
      <c r="T902" s="8" t="n"/>
      <c r="U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7">
        <f>IF(OR(F903="",G903=""),"",(G903-F903)*1440)</f>
        <v/>
      </c>
      <c r="I903" s="8" t="n"/>
      <c r="J903" s="8" t="n"/>
      <c r="K903" s="8" t="n"/>
      <c r="L903" s="8" t="n"/>
      <c r="M903" s="8" t="n"/>
      <c r="O903" s="8" t="n"/>
      <c r="P903" s="8" t="n"/>
      <c r="Q903" s="8" t="n"/>
      <c r="R903" s="8" t="n"/>
      <c r="S903" s="8" t="n"/>
      <c r="T903" s="8" t="n"/>
      <c r="U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7">
        <f>IF(OR(F904="",G904=""),"",(G904-F904)*1440)</f>
        <v/>
      </c>
      <c r="I904" s="8" t="n"/>
      <c r="J904" s="8" t="n"/>
      <c r="K904" s="8" t="n"/>
      <c r="L904" s="8" t="n"/>
      <c r="M904" s="8" t="n"/>
      <c r="O904" s="8" t="n"/>
      <c r="P904" s="8" t="n"/>
      <c r="Q904" s="8" t="n"/>
      <c r="R904" s="8" t="n"/>
      <c r="S904" s="8" t="n"/>
      <c r="T904" s="8" t="n"/>
      <c r="U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7">
        <f>IF(OR(F905="",G905=""),"",(G905-F905)*1440)</f>
        <v/>
      </c>
      <c r="I905" s="8" t="n"/>
      <c r="J905" s="8" t="n"/>
      <c r="K905" s="8" t="n"/>
      <c r="L905" s="8" t="n"/>
      <c r="M905" s="8" t="n"/>
      <c r="O905" s="8" t="n"/>
      <c r="P905" s="8" t="n"/>
      <c r="Q905" s="8" t="n"/>
      <c r="R905" s="8" t="n"/>
      <c r="S905" s="8" t="n"/>
      <c r="T905" s="8" t="n"/>
      <c r="U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7">
        <f>IF(OR(F906="",G906=""),"",(G906-F906)*1440)</f>
        <v/>
      </c>
      <c r="I906" s="8" t="n"/>
      <c r="J906" s="8" t="n"/>
      <c r="K906" s="8" t="n"/>
      <c r="L906" s="8" t="n"/>
      <c r="M906" s="8" t="n"/>
      <c r="O906" s="8" t="n"/>
      <c r="P906" s="8" t="n"/>
      <c r="Q906" s="8" t="n"/>
      <c r="R906" s="8" t="n"/>
      <c r="S906" s="8" t="n"/>
      <c r="T906" s="8" t="n"/>
      <c r="U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7">
        <f>IF(OR(F907="",G907=""),"",(G907-F907)*1440)</f>
        <v/>
      </c>
      <c r="I907" s="8" t="n"/>
      <c r="J907" s="8" t="n"/>
      <c r="K907" s="8" t="n"/>
      <c r="L907" s="8" t="n"/>
      <c r="M907" s="8" t="n"/>
      <c r="O907" s="8" t="n"/>
      <c r="P907" s="8" t="n"/>
      <c r="Q907" s="8" t="n"/>
      <c r="R907" s="8" t="n"/>
      <c r="S907" s="8" t="n"/>
      <c r="T907" s="8" t="n"/>
      <c r="U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7">
        <f>IF(OR(F908="",G908=""),"",(G908-F908)*1440)</f>
        <v/>
      </c>
      <c r="I908" s="8" t="n"/>
      <c r="J908" s="8" t="n"/>
      <c r="K908" s="8" t="n"/>
      <c r="L908" s="8" t="n"/>
      <c r="M908" s="8" t="n"/>
      <c r="O908" s="8" t="n"/>
      <c r="P908" s="8" t="n"/>
      <c r="Q908" s="8" t="n"/>
      <c r="R908" s="8" t="n"/>
      <c r="S908" s="8" t="n"/>
      <c r="T908" s="8" t="n"/>
      <c r="U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7">
        <f>IF(OR(F909="",G909=""),"",(G909-F909)*1440)</f>
        <v/>
      </c>
      <c r="I909" s="8" t="n"/>
      <c r="J909" s="8" t="n"/>
      <c r="K909" s="8" t="n"/>
      <c r="L909" s="8" t="n"/>
      <c r="M909" s="8" t="n"/>
      <c r="O909" s="8" t="n"/>
      <c r="P909" s="8" t="n"/>
      <c r="Q909" s="8" t="n"/>
      <c r="R909" s="8" t="n"/>
      <c r="S909" s="8" t="n"/>
      <c r="T909" s="8" t="n"/>
      <c r="U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7">
        <f>IF(OR(F910="",G910=""),"",(G910-F910)*1440)</f>
        <v/>
      </c>
      <c r="I910" s="8" t="n"/>
      <c r="J910" s="8" t="n"/>
      <c r="K910" s="8" t="n"/>
      <c r="L910" s="8" t="n"/>
      <c r="M910" s="8" t="n"/>
      <c r="O910" s="8" t="n"/>
      <c r="P910" s="8" t="n"/>
      <c r="Q910" s="8" t="n"/>
      <c r="R910" s="8" t="n"/>
      <c r="S910" s="8" t="n"/>
      <c r="T910" s="8" t="n"/>
      <c r="U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7">
        <f>IF(OR(F911="",G911=""),"",(G911-F911)*1440)</f>
        <v/>
      </c>
      <c r="I911" s="8" t="n"/>
      <c r="J911" s="8" t="n"/>
      <c r="K911" s="8" t="n"/>
      <c r="L911" s="8" t="n"/>
      <c r="M911" s="8" t="n"/>
      <c r="O911" s="8" t="n"/>
      <c r="P911" s="8" t="n"/>
      <c r="Q911" s="8" t="n"/>
      <c r="R911" s="8" t="n"/>
      <c r="S911" s="8" t="n"/>
      <c r="T911" s="8" t="n"/>
      <c r="U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7">
        <f>IF(OR(F912="",G912=""),"",(G912-F912)*1440)</f>
        <v/>
      </c>
      <c r="I912" s="8" t="n"/>
      <c r="J912" s="8" t="n"/>
      <c r="K912" s="8" t="n"/>
      <c r="L912" s="8" t="n"/>
      <c r="M912" s="8" t="n"/>
      <c r="O912" s="8" t="n"/>
      <c r="P912" s="8" t="n"/>
      <c r="Q912" s="8" t="n"/>
      <c r="R912" s="8" t="n"/>
      <c r="S912" s="8" t="n"/>
      <c r="T912" s="8" t="n"/>
      <c r="U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7">
        <f>IF(OR(F913="",G913=""),"",(G913-F913)*1440)</f>
        <v/>
      </c>
      <c r="I913" s="8" t="n"/>
      <c r="J913" s="8" t="n"/>
      <c r="K913" s="8" t="n"/>
      <c r="L913" s="8" t="n"/>
      <c r="M913" s="8" t="n"/>
      <c r="O913" s="8" t="n"/>
      <c r="P913" s="8" t="n"/>
      <c r="Q913" s="8" t="n"/>
      <c r="R913" s="8" t="n"/>
      <c r="S913" s="8" t="n"/>
      <c r="T913" s="8" t="n"/>
      <c r="U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7">
        <f>IF(OR(F914="",G914=""),"",(G914-F914)*1440)</f>
        <v/>
      </c>
      <c r="I914" s="8" t="n"/>
      <c r="J914" s="8" t="n"/>
      <c r="K914" s="8" t="n"/>
      <c r="L914" s="8" t="n"/>
      <c r="M914" s="8" t="n"/>
      <c r="O914" s="8" t="n"/>
      <c r="P914" s="8" t="n"/>
      <c r="Q914" s="8" t="n"/>
      <c r="R914" s="8" t="n"/>
      <c r="S914" s="8" t="n"/>
      <c r="T914" s="8" t="n"/>
      <c r="U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7">
        <f>IF(OR(F915="",G915=""),"",(G915-F915)*1440)</f>
        <v/>
      </c>
      <c r="I915" s="8" t="n"/>
      <c r="J915" s="8" t="n"/>
      <c r="K915" s="8" t="n"/>
      <c r="L915" s="8" t="n"/>
      <c r="M915" s="8" t="n"/>
      <c r="O915" s="8" t="n"/>
      <c r="P915" s="8" t="n"/>
      <c r="Q915" s="8" t="n"/>
      <c r="R915" s="8" t="n"/>
      <c r="S915" s="8" t="n"/>
      <c r="T915" s="8" t="n"/>
      <c r="U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7">
        <f>IF(OR(F916="",G916=""),"",(G916-F916)*1440)</f>
        <v/>
      </c>
      <c r="I916" s="8" t="n"/>
      <c r="J916" s="8" t="n"/>
      <c r="K916" s="8" t="n"/>
      <c r="L916" s="8" t="n"/>
      <c r="M916" s="8" t="n"/>
      <c r="O916" s="8" t="n"/>
      <c r="P916" s="8" t="n"/>
      <c r="Q916" s="8" t="n"/>
      <c r="R916" s="8" t="n"/>
      <c r="S916" s="8" t="n"/>
      <c r="T916" s="8" t="n"/>
      <c r="U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7">
        <f>IF(OR(F917="",G917=""),"",(G917-F917)*1440)</f>
        <v/>
      </c>
      <c r="I917" s="8" t="n"/>
      <c r="J917" s="8" t="n"/>
      <c r="K917" s="8" t="n"/>
      <c r="L917" s="8" t="n"/>
      <c r="M917" s="8" t="n"/>
      <c r="O917" s="8" t="n"/>
      <c r="P917" s="8" t="n"/>
      <c r="Q917" s="8" t="n"/>
      <c r="R917" s="8" t="n"/>
      <c r="S917" s="8" t="n"/>
      <c r="T917" s="8" t="n"/>
      <c r="U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7">
        <f>IF(OR(F918="",G918=""),"",(G918-F918)*1440)</f>
        <v/>
      </c>
      <c r="I918" s="8" t="n"/>
      <c r="J918" s="8" t="n"/>
      <c r="K918" s="8" t="n"/>
      <c r="L918" s="8" t="n"/>
      <c r="M918" s="8" t="n"/>
      <c r="O918" s="8" t="n"/>
      <c r="P918" s="8" t="n"/>
      <c r="Q918" s="8" t="n"/>
      <c r="R918" s="8" t="n"/>
      <c r="S918" s="8" t="n"/>
      <c r="T918" s="8" t="n"/>
      <c r="U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7">
        <f>IF(OR(F919="",G919=""),"",(G919-F919)*1440)</f>
        <v/>
      </c>
      <c r="I919" s="8" t="n"/>
      <c r="J919" s="8" t="n"/>
      <c r="K919" s="8" t="n"/>
      <c r="L919" s="8" t="n"/>
      <c r="M919" s="8" t="n"/>
      <c r="O919" s="8" t="n"/>
      <c r="P919" s="8" t="n"/>
      <c r="Q919" s="8" t="n"/>
      <c r="R919" s="8" t="n"/>
      <c r="S919" s="8" t="n"/>
      <c r="T919" s="8" t="n"/>
      <c r="U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7">
        <f>IF(OR(F920="",G920=""),"",(G920-F920)*1440)</f>
        <v/>
      </c>
      <c r="I920" s="8" t="n"/>
      <c r="J920" s="8" t="n"/>
      <c r="K920" s="8" t="n"/>
      <c r="L920" s="8" t="n"/>
      <c r="M920" s="8" t="n"/>
      <c r="O920" s="8" t="n"/>
      <c r="P920" s="8" t="n"/>
      <c r="Q920" s="8" t="n"/>
      <c r="R920" s="8" t="n"/>
      <c r="S920" s="8" t="n"/>
      <c r="T920" s="8" t="n"/>
      <c r="U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7">
        <f>IF(OR(F921="",G921=""),"",(G921-F921)*1440)</f>
        <v/>
      </c>
      <c r="I921" s="8" t="n"/>
      <c r="J921" s="8" t="n"/>
      <c r="K921" s="8" t="n"/>
      <c r="L921" s="8" t="n"/>
      <c r="M921" s="8" t="n"/>
      <c r="O921" s="8" t="n"/>
      <c r="P921" s="8" t="n"/>
      <c r="Q921" s="8" t="n"/>
      <c r="R921" s="8" t="n"/>
      <c r="S921" s="8" t="n"/>
      <c r="T921" s="8" t="n"/>
      <c r="U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7">
        <f>IF(OR(F922="",G922=""),"",(G922-F922)*1440)</f>
        <v/>
      </c>
      <c r="I922" s="8" t="n"/>
      <c r="J922" s="8" t="n"/>
      <c r="K922" s="8" t="n"/>
      <c r="L922" s="8" t="n"/>
      <c r="M922" s="8" t="n"/>
      <c r="O922" s="8" t="n"/>
      <c r="P922" s="8" t="n"/>
      <c r="Q922" s="8" t="n"/>
      <c r="R922" s="8" t="n"/>
      <c r="S922" s="8" t="n"/>
      <c r="T922" s="8" t="n"/>
      <c r="U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7">
        <f>IF(OR(F923="",G923=""),"",(G923-F923)*1440)</f>
        <v/>
      </c>
      <c r="I923" s="8" t="n"/>
      <c r="J923" s="8" t="n"/>
      <c r="K923" s="8" t="n"/>
      <c r="L923" s="8" t="n"/>
      <c r="M923" s="8" t="n"/>
      <c r="O923" s="8" t="n"/>
      <c r="P923" s="8" t="n"/>
      <c r="Q923" s="8" t="n"/>
      <c r="R923" s="8" t="n"/>
      <c r="S923" s="8" t="n"/>
      <c r="T923" s="8" t="n"/>
      <c r="U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7">
        <f>IF(OR(F924="",G924=""),"",(G924-F924)*1440)</f>
        <v/>
      </c>
      <c r="I924" s="8" t="n"/>
      <c r="J924" s="8" t="n"/>
      <c r="K924" s="8" t="n"/>
      <c r="L924" s="8" t="n"/>
      <c r="M924" s="8" t="n"/>
      <c r="O924" s="8" t="n"/>
      <c r="P924" s="8" t="n"/>
      <c r="Q924" s="8" t="n"/>
      <c r="R924" s="8" t="n"/>
      <c r="S924" s="8" t="n"/>
      <c r="T924" s="8" t="n"/>
      <c r="U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7">
        <f>IF(OR(F925="",G925=""),"",(G925-F925)*1440)</f>
        <v/>
      </c>
      <c r="I925" s="8" t="n"/>
      <c r="J925" s="8" t="n"/>
      <c r="K925" s="8" t="n"/>
      <c r="L925" s="8" t="n"/>
      <c r="M925" s="8" t="n"/>
      <c r="O925" s="8" t="n"/>
      <c r="P925" s="8" t="n"/>
      <c r="Q925" s="8" t="n"/>
      <c r="R925" s="8" t="n"/>
      <c r="S925" s="8" t="n"/>
      <c r="T925" s="8" t="n"/>
      <c r="U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7">
        <f>IF(OR(F926="",G926=""),"",(G926-F926)*1440)</f>
        <v/>
      </c>
      <c r="I926" s="8" t="n"/>
      <c r="J926" s="8" t="n"/>
      <c r="K926" s="8" t="n"/>
      <c r="L926" s="8" t="n"/>
      <c r="M926" s="8" t="n"/>
      <c r="O926" s="8" t="n"/>
      <c r="P926" s="8" t="n"/>
      <c r="Q926" s="8" t="n"/>
      <c r="R926" s="8" t="n"/>
      <c r="S926" s="8" t="n"/>
      <c r="T926" s="8" t="n"/>
      <c r="U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7">
        <f>IF(OR(F927="",G927=""),"",(G927-F927)*1440)</f>
        <v/>
      </c>
      <c r="I927" s="8" t="n"/>
      <c r="J927" s="8" t="n"/>
      <c r="K927" s="8" t="n"/>
      <c r="L927" s="8" t="n"/>
      <c r="M927" s="8" t="n"/>
      <c r="O927" s="8" t="n"/>
      <c r="P927" s="8" t="n"/>
      <c r="Q927" s="8" t="n"/>
      <c r="R927" s="8" t="n"/>
      <c r="S927" s="8" t="n"/>
      <c r="T927" s="8" t="n"/>
      <c r="U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7">
        <f>IF(OR(F928="",G928=""),"",(G928-F928)*1440)</f>
        <v/>
      </c>
      <c r="I928" s="8" t="n"/>
      <c r="J928" s="8" t="n"/>
      <c r="K928" s="8" t="n"/>
      <c r="L928" s="8" t="n"/>
      <c r="M928" s="8" t="n"/>
      <c r="O928" s="8" t="n"/>
      <c r="P928" s="8" t="n"/>
      <c r="Q928" s="8" t="n"/>
      <c r="R928" s="8" t="n"/>
      <c r="S928" s="8" t="n"/>
      <c r="T928" s="8" t="n"/>
      <c r="U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7">
        <f>IF(OR(F929="",G929=""),"",(G929-F929)*1440)</f>
        <v/>
      </c>
      <c r="I929" s="8" t="n"/>
      <c r="J929" s="8" t="n"/>
      <c r="K929" s="8" t="n"/>
      <c r="L929" s="8" t="n"/>
      <c r="M929" s="8" t="n"/>
      <c r="O929" s="8" t="n"/>
      <c r="P929" s="8" t="n"/>
      <c r="Q929" s="8" t="n"/>
      <c r="R929" s="8" t="n"/>
      <c r="S929" s="8" t="n"/>
      <c r="T929" s="8" t="n"/>
      <c r="U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7">
        <f>IF(OR(F930="",G930=""),"",(G930-F930)*1440)</f>
        <v/>
      </c>
      <c r="I930" s="8" t="n"/>
      <c r="J930" s="8" t="n"/>
      <c r="K930" s="8" t="n"/>
      <c r="L930" s="8" t="n"/>
      <c r="M930" s="8" t="n"/>
      <c r="O930" s="8" t="n"/>
      <c r="P930" s="8" t="n"/>
      <c r="Q930" s="8" t="n"/>
      <c r="R930" s="8" t="n"/>
      <c r="S930" s="8" t="n"/>
      <c r="T930" s="8" t="n"/>
      <c r="U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7">
        <f>IF(OR(F931="",G931=""),"",(G931-F931)*1440)</f>
        <v/>
      </c>
      <c r="I931" s="8" t="n"/>
      <c r="J931" s="8" t="n"/>
      <c r="K931" s="8" t="n"/>
      <c r="L931" s="8" t="n"/>
      <c r="M931" s="8" t="n"/>
      <c r="O931" s="8" t="n"/>
      <c r="P931" s="8" t="n"/>
      <c r="Q931" s="8" t="n"/>
      <c r="R931" s="8" t="n"/>
      <c r="S931" s="8" t="n"/>
      <c r="T931" s="8" t="n"/>
      <c r="U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7">
        <f>IF(OR(F932="",G932=""),"",(G932-F932)*1440)</f>
        <v/>
      </c>
      <c r="I932" s="8" t="n"/>
      <c r="J932" s="8" t="n"/>
      <c r="K932" s="8" t="n"/>
      <c r="L932" s="8" t="n"/>
      <c r="M932" s="8" t="n"/>
      <c r="O932" s="8" t="n"/>
      <c r="P932" s="8" t="n"/>
      <c r="Q932" s="8" t="n"/>
      <c r="R932" s="8" t="n"/>
      <c r="S932" s="8" t="n"/>
      <c r="T932" s="8" t="n"/>
      <c r="U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7">
        <f>IF(OR(F933="",G933=""),"",(G933-F933)*1440)</f>
        <v/>
      </c>
      <c r="I933" s="8" t="n"/>
      <c r="J933" s="8" t="n"/>
      <c r="K933" s="8" t="n"/>
      <c r="L933" s="8" t="n"/>
      <c r="M933" s="8" t="n"/>
      <c r="O933" s="8" t="n"/>
      <c r="P933" s="8" t="n"/>
      <c r="Q933" s="8" t="n"/>
      <c r="R933" s="8" t="n"/>
      <c r="S933" s="8" t="n"/>
      <c r="T933" s="8" t="n"/>
      <c r="U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7">
        <f>IF(OR(F934="",G934=""),"",(G934-F934)*1440)</f>
        <v/>
      </c>
      <c r="I934" s="8" t="n"/>
      <c r="J934" s="8" t="n"/>
      <c r="K934" s="8" t="n"/>
      <c r="L934" s="8" t="n"/>
      <c r="M934" s="8" t="n"/>
      <c r="O934" s="8" t="n"/>
      <c r="P934" s="8" t="n"/>
      <c r="Q934" s="8" t="n"/>
      <c r="R934" s="8" t="n"/>
      <c r="S934" s="8" t="n"/>
      <c r="T934" s="8" t="n"/>
      <c r="U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7">
        <f>IF(OR(F935="",G935=""),"",(G935-F935)*1440)</f>
        <v/>
      </c>
      <c r="I935" s="8" t="n"/>
      <c r="J935" s="8" t="n"/>
      <c r="K935" s="8" t="n"/>
      <c r="L935" s="8" t="n"/>
      <c r="M935" s="8" t="n"/>
      <c r="O935" s="8" t="n"/>
      <c r="P935" s="8" t="n"/>
      <c r="Q935" s="8" t="n"/>
      <c r="R935" s="8" t="n"/>
      <c r="S935" s="8" t="n"/>
      <c r="T935" s="8" t="n"/>
      <c r="U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7">
        <f>IF(OR(F936="",G936=""),"",(G936-F936)*1440)</f>
        <v/>
      </c>
      <c r="I936" s="8" t="n"/>
      <c r="J936" s="8" t="n"/>
      <c r="K936" s="8" t="n"/>
      <c r="L936" s="8" t="n"/>
      <c r="M936" s="8" t="n"/>
      <c r="O936" s="8" t="n"/>
      <c r="P936" s="8" t="n"/>
      <c r="Q936" s="8" t="n"/>
      <c r="R936" s="8" t="n"/>
      <c r="S936" s="8" t="n"/>
      <c r="T936" s="8" t="n"/>
      <c r="U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7">
        <f>IF(OR(F937="",G937=""),"",(G937-F937)*1440)</f>
        <v/>
      </c>
      <c r="I937" s="8" t="n"/>
      <c r="J937" s="8" t="n"/>
      <c r="K937" s="8" t="n"/>
      <c r="L937" s="8" t="n"/>
      <c r="M937" s="8" t="n"/>
      <c r="O937" s="8" t="n"/>
      <c r="P937" s="8" t="n"/>
      <c r="Q937" s="8" t="n"/>
      <c r="R937" s="8" t="n"/>
      <c r="S937" s="8" t="n"/>
      <c r="T937" s="8" t="n"/>
      <c r="U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7">
        <f>IF(OR(F938="",G938=""),"",(G938-F938)*1440)</f>
        <v/>
      </c>
      <c r="I938" s="8" t="n"/>
      <c r="J938" s="8" t="n"/>
      <c r="K938" s="8" t="n"/>
      <c r="L938" s="8" t="n"/>
      <c r="M938" s="8" t="n"/>
      <c r="O938" s="8" t="n"/>
      <c r="P938" s="8" t="n"/>
      <c r="Q938" s="8" t="n"/>
      <c r="R938" s="8" t="n"/>
      <c r="S938" s="8" t="n"/>
      <c r="T938" s="8" t="n"/>
      <c r="U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7">
        <f>IF(OR(F939="",G939=""),"",(G939-F939)*1440)</f>
        <v/>
      </c>
      <c r="I939" s="8" t="n"/>
      <c r="J939" s="8" t="n"/>
      <c r="K939" s="8" t="n"/>
      <c r="L939" s="8" t="n"/>
      <c r="M939" s="8" t="n"/>
      <c r="O939" s="8" t="n"/>
      <c r="P939" s="8" t="n"/>
      <c r="Q939" s="8" t="n"/>
      <c r="R939" s="8" t="n"/>
      <c r="S939" s="8" t="n"/>
      <c r="T939" s="8" t="n"/>
      <c r="U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7">
        <f>IF(OR(F940="",G940=""),"",(G940-F940)*1440)</f>
        <v/>
      </c>
      <c r="I940" s="8" t="n"/>
      <c r="J940" s="8" t="n"/>
      <c r="K940" s="8" t="n"/>
      <c r="L940" s="8" t="n"/>
      <c r="M940" s="8" t="n"/>
      <c r="O940" s="8" t="n"/>
      <c r="P940" s="8" t="n"/>
      <c r="Q940" s="8" t="n"/>
      <c r="R940" s="8" t="n"/>
      <c r="S940" s="8" t="n"/>
      <c r="T940" s="8" t="n"/>
      <c r="U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7">
        <f>IF(OR(F941="",G941=""),"",(G941-F941)*1440)</f>
        <v/>
      </c>
      <c r="I941" s="8" t="n"/>
      <c r="J941" s="8" t="n"/>
      <c r="K941" s="8" t="n"/>
      <c r="L941" s="8" t="n"/>
      <c r="M941" s="8" t="n"/>
      <c r="O941" s="8" t="n"/>
      <c r="P941" s="8" t="n"/>
      <c r="Q941" s="8" t="n"/>
      <c r="R941" s="8" t="n"/>
      <c r="S941" s="8" t="n"/>
      <c r="T941" s="8" t="n"/>
      <c r="U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7">
        <f>IF(OR(F942="",G942=""),"",(G942-F942)*1440)</f>
        <v/>
      </c>
      <c r="I942" s="8" t="n"/>
      <c r="J942" s="8" t="n"/>
      <c r="K942" s="8" t="n"/>
      <c r="L942" s="8" t="n"/>
      <c r="M942" s="8" t="n"/>
      <c r="O942" s="8" t="n"/>
      <c r="P942" s="8" t="n"/>
      <c r="Q942" s="8" t="n"/>
      <c r="R942" s="8" t="n"/>
      <c r="S942" s="8" t="n"/>
      <c r="T942" s="8" t="n"/>
      <c r="U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7">
        <f>IF(OR(F943="",G943=""),"",(G943-F943)*1440)</f>
        <v/>
      </c>
      <c r="I943" s="8" t="n"/>
      <c r="J943" s="8" t="n"/>
      <c r="K943" s="8" t="n"/>
      <c r="L943" s="8" t="n"/>
      <c r="M943" s="8" t="n"/>
      <c r="O943" s="8" t="n"/>
      <c r="P943" s="8" t="n"/>
      <c r="Q943" s="8" t="n"/>
      <c r="R943" s="8" t="n"/>
      <c r="S943" s="8" t="n"/>
      <c r="T943" s="8" t="n"/>
      <c r="U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7">
        <f>IF(OR(F944="",G944=""),"",(G944-F944)*1440)</f>
        <v/>
      </c>
      <c r="I944" s="8" t="n"/>
      <c r="J944" s="8" t="n"/>
      <c r="K944" s="8" t="n"/>
      <c r="L944" s="8" t="n"/>
      <c r="M944" s="8" t="n"/>
      <c r="O944" s="8" t="n"/>
      <c r="P944" s="8" t="n"/>
      <c r="Q944" s="8" t="n"/>
      <c r="R944" s="8" t="n"/>
      <c r="S944" s="8" t="n"/>
      <c r="T944" s="8" t="n"/>
      <c r="U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7">
        <f>IF(OR(F945="",G945=""),"",(G945-F945)*1440)</f>
        <v/>
      </c>
      <c r="I945" s="8" t="n"/>
      <c r="J945" s="8" t="n"/>
      <c r="K945" s="8" t="n"/>
      <c r="L945" s="8" t="n"/>
      <c r="M945" s="8" t="n"/>
      <c r="O945" s="8" t="n"/>
      <c r="P945" s="8" t="n"/>
      <c r="Q945" s="8" t="n"/>
      <c r="R945" s="8" t="n"/>
      <c r="S945" s="8" t="n"/>
      <c r="T945" s="8" t="n"/>
      <c r="U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7">
        <f>IF(OR(F946="",G946=""),"",(G946-F946)*1440)</f>
        <v/>
      </c>
      <c r="I946" s="8" t="n"/>
      <c r="J946" s="8" t="n"/>
      <c r="K946" s="8" t="n"/>
      <c r="L946" s="8" t="n"/>
      <c r="M946" s="8" t="n"/>
      <c r="O946" s="8" t="n"/>
      <c r="P946" s="8" t="n"/>
      <c r="Q946" s="8" t="n"/>
      <c r="R946" s="8" t="n"/>
      <c r="S946" s="8" t="n"/>
      <c r="T946" s="8" t="n"/>
      <c r="U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7">
        <f>IF(OR(F947="",G947=""),"",(G947-F947)*1440)</f>
        <v/>
      </c>
      <c r="I947" s="8" t="n"/>
      <c r="J947" s="8" t="n"/>
      <c r="K947" s="8" t="n"/>
      <c r="L947" s="8" t="n"/>
      <c r="M947" s="8" t="n"/>
      <c r="O947" s="8" t="n"/>
      <c r="P947" s="8" t="n"/>
      <c r="Q947" s="8" t="n"/>
      <c r="R947" s="8" t="n"/>
      <c r="S947" s="8" t="n"/>
      <c r="T947" s="8" t="n"/>
      <c r="U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7">
        <f>IF(OR(F948="",G948=""),"",(G948-F948)*1440)</f>
        <v/>
      </c>
      <c r="I948" s="8" t="n"/>
      <c r="J948" s="8" t="n"/>
      <c r="K948" s="8" t="n"/>
      <c r="L948" s="8" t="n"/>
      <c r="M948" s="8" t="n"/>
      <c r="O948" s="8" t="n"/>
      <c r="P948" s="8" t="n"/>
      <c r="Q948" s="8" t="n"/>
      <c r="R948" s="8" t="n"/>
      <c r="S948" s="8" t="n"/>
      <c r="T948" s="8" t="n"/>
      <c r="U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7">
        <f>IF(OR(F949="",G949=""),"",(G949-F949)*1440)</f>
        <v/>
      </c>
      <c r="I949" s="8" t="n"/>
      <c r="J949" s="8" t="n"/>
      <c r="K949" s="8" t="n"/>
      <c r="L949" s="8" t="n"/>
      <c r="M949" s="8" t="n"/>
      <c r="O949" s="8" t="n"/>
      <c r="P949" s="8" t="n"/>
      <c r="Q949" s="8" t="n"/>
      <c r="R949" s="8" t="n"/>
      <c r="S949" s="8" t="n"/>
      <c r="T949" s="8" t="n"/>
      <c r="U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7">
        <f>IF(OR(F950="",G950=""),"",(G950-F950)*1440)</f>
        <v/>
      </c>
      <c r="I950" s="8" t="n"/>
      <c r="J950" s="8" t="n"/>
      <c r="K950" s="8" t="n"/>
      <c r="L950" s="8" t="n"/>
      <c r="M950" s="8" t="n"/>
      <c r="O950" s="8" t="n"/>
      <c r="P950" s="8" t="n"/>
      <c r="Q950" s="8" t="n"/>
      <c r="R950" s="8" t="n"/>
      <c r="S950" s="8" t="n"/>
      <c r="T950" s="8" t="n"/>
      <c r="U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7">
        <f>IF(OR(F951="",G951=""),"",(G951-F951)*1440)</f>
        <v/>
      </c>
      <c r="I951" s="8" t="n"/>
      <c r="J951" s="8" t="n"/>
      <c r="K951" s="8" t="n"/>
      <c r="L951" s="8" t="n"/>
      <c r="M951" s="8" t="n"/>
      <c r="O951" s="8" t="n"/>
      <c r="P951" s="8" t="n"/>
      <c r="Q951" s="8" t="n"/>
      <c r="R951" s="8" t="n"/>
      <c r="S951" s="8" t="n"/>
      <c r="T951" s="8" t="n"/>
      <c r="U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7">
        <f>IF(OR(F952="",G952=""),"",(G952-F952)*1440)</f>
        <v/>
      </c>
      <c r="I952" s="8" t="n"/>
      <c r="J952" s="8" t="n"/>
      <c r="K952" s="8" t="n"/>
      <c r="L952" s="8" t="n"/>
      <c r="M952" s="8" t="n"/>
      <c r="O952" s="8" t="n"/>
      <c r="P952" s="8" t="n"/>
      <c r="Q952" s="8" t="n"/>
      <c r="R952" s="8" t="n"/>
      <c r="S952" s="8" t="n"/>
      <c r="T952" s="8" t="n"/>
      <c r="U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7">
        <f>IF(OR(F953="",G953=""),"",(G953-F953)*1440)</f>
        <v/>
      </c>
      <c r="I953" s="8" t="n"/>
      <c r="J953" s="8" t="n"/>
      <c r="K953" s="8" t="n"/>
      <c r="L953" s="8" t="n"/>
      <c r="M953" s="8" t="n"/>
      <c r="O953" s="8" t="n"/>
      <c r="P953" s="8" t="n"/>
      <c r="Q953" s="8" t="n"/>
      <c r="R953" s="8" t="n"/>
      <c r="S953" s="8" t="n"/>
      <c r="T953" s="8" t="n"/>
      <c r="U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7">
        <f>IF(OR(F954="",G954=""),"",(G954-F954)*1440)</f>
        <v/>
      </c>
      <c r="I954" s="8" t="n"/>
      <c r="J954" s="8" t="n"/>
      <c r="K954" s="8" t="n"/>
      <c r="L954" s="8" t="n"/>
      <c r="M954" s="8" t="n"/>
      <c r="O954" s="8" t="n"/>
      <c r="P954" s="8" t="n"/>
      <c r="Q954" s="8" t="n"/>
      <c r="R954" s="8" t="n"/>
      <c r="S954" s="8" t="n"/>
      <c r="T954" s="8" t="n"/>
      <c r="U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7">
        <f>IF(OR(F955="",G955=""),"",(G955-F955)*1440)</f>
        <v/>
      </c>
      <c r="I955" s="8" t="n"/>
      <c r="J955" s="8" t="n"/>
      <c r="K955" s="8" t="n"/>
      <c r="L955" s="8" t="n"/>
      <c r="M955" s="8" t="n"/>
      <c r="O955" s="8" t="n"/>
      <c r="P955" s="8" t="n"/>
      <c r="Q955" s="8" t="n"/>
      <c r="R955" s="8" t="n"/>
      <c r="S955" s="8" t="n"/>
      <c r="T955" s="8" t="n"/>
      <c r="U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7">
        <f>IF(OR(F956="",G956=""),"",(G956-F956)*1440)</f>
        <v/>
      </c>
      <c r="I956" s="8" t="n"/>
      <c r="J956" s="8" t="n"/>
      <c r="K956" s="8" t="n"/>
      <c r="L956" s="8" t="n"/>
      <c r="M956" s="8" t="n"/>
      <c r="O956" s="8" t="n"/>
      <c r="P956" s="8" t="n"/>
      <c r="Q956" s="8" t="n"/>
      <c r="R956" s="8" t="n"/>
      <c r="S956" s="8" t="n"/>
      <c r="T956" s="8" t="n"/>
      <c r="U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7">
        <f>IF(OR(F957="",G957=""),"",(G957-F957)*1440)</f>
        <v/>
      </c>
      <c r="I957" s="8" t="n"/>
      <c r="J957" s="8" t="n"/>
      <c r="K957" s="8" t="n"/>
      <c r="L957" s="8" t="n"/>
      <c r="M957" s="8" t="n"/>
      <c r="O957" s="8" t="n"/>
      <c r="P957" s="8" t="n"/>
      <c r="Q957" s="8" t="n"/>
      <c r="R957" s="8" t="n"/>
      <c r="S957" s="8" t="n"/>
      <c r="T957" s="8" t="n"/>
      <c r="U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7">
        <f>IF(OR(F958="",G958=""),"",(G958-F958)*1440)</f>
        <v/>
      </c>
      <c r="I958" s="8" t="n"/>
      <c r="J958" s="8" t="n"/>
      <c r="K958" s="8" t="n"/>
      <c r="L958" s="8" t="n"/>
      <c r="M958" s="8" t="n"/>
      <c r="O958" s="8" t="n"/>
      <c r="P958" s="8" t="n"/>
      <c r="Q958" s="8" t="n"/>
      <c r="R958" s="8" t="n"/>
      <c r="S958" s="8" t="n"/>
      <c r="T958" s="8" t="n"/>
      <c r="U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7">
        <f>IF(OR(F959="",G959=""),"",(G959-F959)*1440)</f>
        <v/>
      </c>
      <c r="I959" s="8" t="n"/>
      <c r="J959" s="8" t="n"/>
      <c r="K959" s="8" t="n"/>
      <c r="L959" s="8" t="n"/>
      <c r="M959" s="8" t="n"/>
      <c r="O959" s="8" t="n"/>
      <c r="P959" s="8" t="n"/>
      <c r="Q959" s="8" t="n"/>
      <c r="R959" s="8" t="n"/>
      <c r="S959" s="8" t="n"/>
      <c r="T959" s="8" t="n"/>
      <c r="U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7">
        <f>IF(OR(F960="",G960=""),"",(G960-F960)*1440)</f>
        <v/>
      </c>
      <c r="I960" s="8" t="n"/>
      <c r="J960" s="8" t="n"/>
      <c r="K960" s="8" t="n"/>
      <c r="L960" s="8" t="n"/>
      <c r="M960" s="8" t="n"/>
      <c r="O960" s="8" t="n"/>
      <c r="P960" s="8" t="n"/>
      <c r="Q960" s="8" t="n"/>
      <c r="R960" s="8" t="n"/>
      <c r="S960" s="8" t="n"/>
      <c r="T960" s="8" t="n"/>
      <c r="U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7">
        <f>IF(OR(F961="",G961=""),"",(G961-F961)*1440)</f>
        <v/>
      </c>
      <c r="I961" s="8" t="n"/>
      <c r="J961" s="8" t="n"/>
      <c r="K961" s="8" t="n"/>
      <c r="L961" s="8" t="n"/>
      <c r="M961" s="8" t="n"/>
      <c r="O961" s="8" t="n"/>
      <c r="P961" s="8" t="n"/>
      <c r="Q961" s="8" t="n"/>
      <c r="R961" s="8" t="n"/>
      <c r="S961" s="8" t="n"/>
      <c r="T961" s="8" t="n"/>
      <c r="U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7">
        <f>IF(OR(F962="",G962=""),"",(G962-F962)*1440)</f>
        <v/>
      </c>
      <c r="I962" s="8" t="n"/>
      <c r="J962" s="8" t="n"/>
      <c r="K962" s="8" t="n"/>
      <c r="L962" s="8" t="n"/>
      <c r="M962" s="8" t="n"/>
      <c r="O962" s="8" t="n"/>
      <c r="P962" s="8" t="n"/>
      <c r="Q962" s="8" t="n"/>
      <c r="R962" s="8" t="n"/>
      <c r="S962" s="8" t="n"/>
      <c r="T962" s="8" t="n"/>
      <c r="U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7">
        <f>IF(OR(F963="",G963=""),"",(G963-F963)*1440)</f>
        <v/>
      </c>
      <c r="I963" s="8" t="n"/>
      <c r="J963" s="8" t="n"/>
      <c r="K963" s="8" t="n"/>
      <c r="L963" s="8" t="n"/>
      <c r="M963" s="8" t="n"/>
      <c r="O963" s="8" t="n"/>
      <c r="P963" s="8" t="n"/>
      <c r="Q963" s="8" t="n"/>
      <c r="R963" s="8" t="n"/>
      <c r="S963" s="8" t="n"/>
      <c r="T963" s="8" t="n"/>
      <c r="U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7">
        <f>IF(OR(F964="",G964=""),"",(G964-F964)*1440)</f>
        <v/>
      </c>
      <c r="I964" s="8" t="n"/>
      <c r="J964" s="8" t="n"/>
      <c r="K964" s="8" t="n"/>
      <c r="L964" s="8" t="n"/>
      <c r="M964" s="8" t="n"/>
      <c r="O964" s="8" t="n"/>
      <c r="P964" s="8" t="n"/>
      <c r="Q964" s="8" t="n"/>
      <c r="R964" s="8" t="n"/>
      <c r="S964" s="8" t="n"/>
      <c r="T964" s="8" t="n"/>
      <c r="U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7">
        <f>IF(OR(F965="",G965=""),"",(G965-F965)*1440)</f>
        <v/>
      </c>
      <c r="I965" s="8" t="n"/>
      <c r="J965" s="8" t="n"/>
      <c r="K965" s="8" t="n"/>
      <c r="L965" s="8" t="n"/>
      <c r="M965" s="8" t="n"/>
      <c r="O965" s="8" t="n"/>
      <c r="P965" s="8" t="n"/>
      <c r="Q965" s="8" t="n"/>
      <c r="R965" s="8" t="n"/>
      <c r="S965" s="8" t="n"/>
      <c r="T965" s="8" t="n"/>
      <c r="U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7">
        <f>IF(OR(F966="",G966=""),"",(G966-F966)*1440)</f>
        <v/>
      </c>
      <c r="I966" s="8" t="n"/>
      <c r="J966" s="8" t="n"/>
      <c r="K966" s="8" t="n"/>
      <c r="L966" s="8" t="n"/>
      <c r="M966" s="8" t="n"/>
      <c r="O966" s="8" t="n"/>
      <c r="P966" s="8" t="n"/>
      <c r="Q966" s="8" t="n"/>
      <c r="R966" s="8" t="n"/>
      <c r="S966" s="8" t="n"/>
      <c r="T966" s="8" t="n"/>
      <c r="U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7">
        <f>IF(OR(F967="",G967=""),"",(G967-F967)*1440)</f>
        <v/>
      </c>
      <c r="I967" s="8" t="n"/>
      <c r="J967" s="8" t="n"/>
      <c r="K967" s="8" t="n"/>
      <c r="L967" s="8" t="n"/>
      <c r="M967" s="8" t="n"/>
      <c r="O967" s="8" t="n"/>
      <c r="P967" s="8" t="n"/>
      <c r="Q967" s="8" t="n"/>
      <c r="R967" s="8" t="n"/>
      <c r="S967" s="8" t="n"/>
      <c r="T967" s="8" t="n"/>
      <c r="U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7">
        <f>IF(OR(F968="",G968=""),"",(G968-F968)*1440)</f>
        <v/>
      </c>
      <c r="I968" s="8" t="n"/>
      <c r="J968" s="8" t="n"/>
      <c r="K968" s="8" t="n"/>
      <c r="L968" s="8" t="n"/>
      <c r="M968" s="8" t="n"/>
      <c r="O968" s="8" t="n"/>
      <c r="P968" s="8" t="n"/>
      <c r="Q968" s="8" t="n"/>
      <c r="R968" s="8" t="n"/>
      <c r="S968" s="8" t="n"/>
      <c r="T968" s="8" t="n"/>
      <c r="U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7">
        <f>IF(OR(F969="",G969=""),"",(G969-F969)*1440)</f>
        <v/>
      </c>
      <c r="I969" s="8" t="n"/>
      <c r="J969" s="8" t="n"/>
      <c r="K969" s="8" t="n"/>
      <c r="L969" s="8" t="n"/>
      <c r="M969" s="8" t="n"/>
      <c r="O969" s="8" t="n"/>
      <c r="P969" s="8" t="n"/>
      <c r="Q969" s="8" t="n"/>
      <c r="R969" s="8" t="n"/>
      <c r="S969" s="8" t="n"/>
      <c r="T969" s="8" t="n"/>
      <c r="U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7">
        <f>IF(OR(F970="",G970=""),"",(G970-F970)*1440)</f>
        <v/>
      </c>
      <c r="I970" s="8" t="n"/>
      <c r="J970" s="8" t="n"/>
      <c r="K970" s="8" t="n"/>
      <c r="L970" s="8" t="n"/>
      <c r="M970" s="8" t="n"/>
      <c r="O970" s="8" t="n"/>
      <c r="P970" s="8" t="n"/>
      <c r="Q970" s="8" t="n"/>
      <c r="R970" s="8" t="n"/>
      <c r="S970" s="8" t="n"/>
      <c r="T970" s="8" t="n"/>
      <c r="U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7">
        <f>IF(OR(F971="",G971=""),"",(G971-F971)*1440)</f>
        <v/>
      </c>
      <c r="I971" s="8" t="n"/>
      <c r="J971" s="8" t="n"/>
      <c r="K971" s="8" t="n"/>
      <c r="L971" s="8" t="n"/>
      <c r="M971" s="8" t="n"/>
      <c r="O971" s="8" t="n"/>
      <c r="P971" s="8" t="n"/>
      <c r="Q971" s="8" t="n"/>
      <c r="R971" s="8" t="n"/>
      <c r="S971" s="8" t="n"/>
      <c r="T971" s="8" t="n"/>
      <c r="U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7">
        <f>IF(OR(F972="",G972=""),"",(G972-F972)*1440)</f>
        <v/>
      </c>
      <c r="I972" s="8" t="n"/>
      <c r="J972" s="8" t="n"/>
      <c r="K972" s="8" t="n"/>
      <c r="L972" s="8" t="n"/>
      <c r="M972" s="8" t="n"/>
      <c r="O972" s="8" t="n"/>
      <c r="P972" s="8" t="n"/>
      <c r="Q972" s="8" t="n"/>
      <c r="R972" s="8" t="n"/>
      <c r="S972" s="8" t="n"/>
      <c r="T972" s="8" t="n"/>
      <c r="U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7">
        <f>IF(OR(F973="",G973=""),"",(G973-F973)*1440)</f>
        <v/>
      </c>
      <c r="I973" s="8" t="n"/>
      <c r="J973" s="8" t="n"/>
      <c r="K973" s="8" t="n"/>
      <c r="L973" s="8" t="n"/>
      <c r="M973" s="8" t="n"/>
      <c r="O973" s="8" t="n"/>
      <c r="P973" s="8" t="n"/>
      <c r="Q973" s="8" t="n"/>
      <c r="R973" s="8" t="n"/>
      <c r="S973" s="8" t="n"/>
      <c r="T973" s="8" t="n"/>
      <c r="U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7">
        <f>IF(OR(F974="",G974=""),"",(G974-F974)*1440)</f>
        <v/>
      </c>
      <c r="I974" s="8" t="n"/>
      <c r="J974" s="8" t="n"/>
      <c r="K974" s="8" t="n"/>
      <c r="L974" s="8" t="n"/>
      <c r="M974" s="8" t="n"/>
      <c r="O974" s="8" t="n"/>
      <c r="P974" s="8" t="n"/>
      <c r="Q974" s="8" t="n"/>
      <c r="R974" s="8" t="n"/>
      <c r="S974" s="8" t="n"/>
      <c r="T974" s="8" t="n"/>
      <c r="U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7">
        <f>IF(OR(F975="",G975=""),"",(G975-F975)*1440)</f>
        <v/>
      </c>
      <c r="I975" s="8" t="n"/>
      <c r="J975" s="8" t="n"/>
      <c r="K975" s="8" t="n"/>
      <c r="L975" s="8" t="n"/>
      <c r="M975" s="8" t="n"/>
      <c r="O975" s="8" t="n"/>
      <c r="P975" s="8" t="n"/>
      <c r="Q975" s="8" t="n"/>
      <c r="R975" s="8" t="n"/>
      <c r="S975" s="8" t="n"/>
      <c r="T975" s="8" t="n"/>
      <c r="U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7">
        <f>IF(OR(F976="",G976=""),"",(G976-F976)*1440)</f>
        <v/>
      </c>
      <c r="I976" s="8" t="n"/>
      <c r="J976" s="8" t="n"/>
      <c r="K976" s="8" t="n"/>
      <c r="L976" s="8" t="n"/>
      <c r="M976" s="8" t="n"/>
      <c r="O976" s="8" t="n"/>
      <c r="P976" s="8" t="n"/>
      <c r="Q976" s="8" t="n"/>
      <c r="R976" s="8" t="n"/>
      <c r="S976" s="8" t="n"/>
      <c r="T976" s="8" t="n"/>
      <c r="U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7">
        <f>IF(OR(F977="",G977=""),"",(G977-F977)*1440)</f>
        <v/>
      </c>
      <c r="I977" s="8" t="n"/>
      <c r="J977" s="8" t="n"/>
      <c r="K977" s="8" t="n"/>
      <c r="L977" s="8" t="n"/>
      <c r="M977" s="8" t="n"/>
      <c r="O977" s="8" t="n"/>
      <c r="P977" s="8" t="n"/>
      <c r="Q977" s="8" t="n"/>
      <c r="R977" s="8" t="n"/>
      <c r="S977" s="8" t="n"/>
      <c r="T977" s="8" t="n"/>
      <c r="U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7">
        <f>IF(OR(F978="",G978=""),"",(G978-F978)*1440)</f>
        <v/>
      </c>
      <c r="I978" s="8" t="n"/>
      <c r="J978" s="8" t="n"/>
      <c r="K978" s="8" t="n"/>
      <c r="L978" s="8" t="n"/>
      <c r="M978" s="8" t="n"/>
      <c r="O978" s="8" t="n"/>
      <c r="P978" s="8" t="n"/>
      <c r="Q978" s="8" t="n"/>
      <c r="R978" s="8" t="n"/>
      <c r="S978" s="8" t="n"/>
      <c r="T978" s="8" t="n"/>
      <c r="U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7">
        <f>IF(OR(F979="",G979=""),"",(G979-F979)*1440)</f>
        <v/>
      </c>
      <c r="I979" s="8" t="n"/>
      <c r="J979" s="8" t="n"/>
      <c r="K979" s="8" t="n"/>
      <c r="L979" s="8" t="n"/>
      <c r="M979" s="8" t="n"/>
      <c r="O979" s="8" t="n"/>
      <c r="P979" s="8" t="n"/>
      <c r="Q979" s="8" t="n"/>
      <c r="R979" s="8" t="n"/>
      <c r="S979" s="8" t="n"/>
      <c r="T979" s="8" t="n"/>
      <c r="U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7">
        <f>IF(OR(F980="",G980=""),"",(G980-F980)*1440)</f>
        <v/>
      </c>
      <c r="I980" s="8" t="n"/>
      <c r="J980" s="8" t="n"/>
      <c r="K980" s="8" t="n"/>
      <c r="L980" s="8" t="n"/>
      <c r="M980" s="8" t="n"/>
      <c r="O980" s="8" t="n"/>
      <c r="P980" s="8" t="n"/>
      <c r="Q980" s="8" t="n"/>
      <c r="R980" s="8" t="n"/>
      <c r="S980" s="8" t="n"/>
      <c r="T980" s="8" t="n"/>
      <c r="U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7">
        <f>IF(OR(F981="",G981=""),"",(G981-F981)*1440)</f>
        <v/>
      </c>
      <c r="I981" s="8" t="n"/>
      <c r="J981" s="8" t="n"/>
      <c r="K981" s="8" t="n"/>
      <c r="L981" s="8" t="n"/>
      <c r="M981" s="8" t="n"/>
      <c r="O981" s="8" t="n"/>
      <c r="P981" s="8" t="n"/>
      <c r="Q981" s="8" t="n"/>
      <c r="R981" s="8" t="n"/>
      <c r="S981" s="8" t="n"/>
      <c r="T981" s="8" t="n"/>
      <c r="U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7">
        <f>IF(OR(F982="",G982=""),"",(G982-F982)*1440)</f>
        <v/>
      </c>
      <c r="I982" s="8" t="n"/>
      <c r="J982" s="8" t="n"/>
      <c r="K982" s="8" t="n"/>
      <c r="L982" s="8" t="n"/>
      <c r="M982" s="8" t="n"/>
      <c r="O982" s="8" t="n"/>
      <c r="P982" s="8" t="n"/>
      <c r="Q982" s="8" t="n"/>
      <c r="R982" s="8" t="n"/>
      <c r="S982" s="8" t="n"/>
      <c r="T982" s="8" t="n"/>
      <c r="U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7">
        <f>IF(OR(F983="",G983=""),"",(G983-F983)*1440)</f>
        <v/>
      </c>
      <c r="I983" s="8" t="n"/>
      <c r="J983" s="8" t="n"/>
      <c r="K983" s="8" t="n"/>
      <c r="L983" s="8" t="n"/>
      <c r="M983" s="8" t="n"/>
      <c r="O983" s="8" t="n"/>
      <c r="P983" s="8" t="n"/>
      <c r="Q983" s="8" t="n"/>
      <c r="R983" s="8" t="n"/>
      <c r="S983" s="8" t="n"/>
      <c r="T983" s="8" t="n"/>
      <c r="U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7">
        <f>IF(OR(F984="",G984=""),"",(G984-F984)*1440)</f>
        <v/>
      </c>
      <c r="I984" s="8" t="n"/>
      <c r="J984" s="8" t="n"/>
      <c r="K984" s="8" t="n"/>
      <c r="L984" s="8" t="n"/>
      <c r="M984" s="8" t="n"/>
      <c r="O984" s="8" t="n"/>
      <c r="P984" s="8" t="n"/>
      <c r="Q984" s="8" t="n"/>
      <c r="R984" s="8" t="n"/>
      <c r="S984" s="8" t="n"/>
      <c r="T984" s="8" t="n"/>
      <c r="U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7">
        <f>IF(OR(F985="",G985=""),"",(G985-F985)*1440)</f>
        <v/>
      </c>
      <c r="I985" s="8" t="n"/>
      <c r="J985" s="8" t="n"/>
      <c r="K985" s="8" t="n"/>
      <c r="L985" s="8" t="n"/>
      <c r="M985" s="8" t="n"/>
      <c r="O985" s="8" t="n"/>
      <c r="P985" s="8" t="n"/>
      <c r="Q985" s="8" t="n"/>
      <c r="R985" s="8" t="n"/>
      <c r="S985" s="8" t="n"/>
      <c r="T985" s="8" t="n"/>
      <c r="U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7">
        <f>IF(OR(F986="",G986=""),"",(G986-F986)*1440)</f>
        <v/>
      </c>
      <c r="I986" s="8" t="n"/>
      <c r="J986" s="8" t="n"/>
      <c r="K986" s="8" t="n"/>
      <c r="L986" s="8" t="n"/>
      <c r="M986" s="8" t="n"/>
      <c r="O986" s="8" t="n"/>
      <c r="P986" s="8" t="n"/>
      <c r="Q986" s="8" t="n"/>
      <c r="R986" s="8" t="n"/>
      <c r="S986" s="8" t="n"/>
      <c r="T986" s="8" t="n"/>
      <c r="U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7">
        <f>IF(OR(F987="",G987=""),"",(G987-F987)*1440)</f>
        <v/>
      </c>
      <c r="I987" s="8" t="n"/>
      <c r="J987" s="8" t="n"/>
      <c r="K987" s="8" t="n"/>
      <c r="L987" s="8" t="n"/>
      <c r="M987" s="8" t="n"/>
      <c r="O987" s="8" t="n"/>
      <c r="P987" s="8" t="n"/>
      <c r="Q987" s="8" t="n"/>
      <c r="R987" s="8" t="n"/>
      <c r="S987" s="8" t="n"/>
      <c r="T987" s="8" t="n"/>
      <c r="U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7">
        <f>IF(OR(F988="",G988=""),"",(G988-F988)*1440)</f>
        <v/>
      </c>
      <c r="I988" s="8" t="n"/>
      <c r="J988" s="8" t="n"/>
      <c r="K988" s="8" t="n"/>
      <c r="L988" s="8" t="n"/>
      <c r="M988" s="8" t="n"/>
      <c r="O988" s="8" t="n"/>
      <c r="P988" s="8" t="n"/>
      <c r="Q988" s="8" t="n"/>
      <c r="R988" s="8" t="n"/>
      <c r="S988" s="8" t="n"/>
      <c r="T988" s="8" t="n"/>
      <c r="U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7">
        <f>IF(OR(F989="",G989=""),"",(G989-F989)*1440)</f>
        <v/>
      </c>
      <c r="I989" s="8" t="n"/>
      <c r="J989" s="8" t="n"/>
      <c r="K989" s="8" t="n"/>
      <c r="L989" s="8" t="n"/>
      <c r="M989" s="8" t="n"/>
      <c r="O989" s="8" t="n"/>
      <c r="P989" s="8" t="n"/>
      <c r="Q989" s="8" t="n"/>
      <c r="R989" s="8" t="n"/>
      <c r="S989" s="8" t="n"/>
      <c r="T989" s="8" t="n"/>
      <c r="U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7">
        <f>IF(OR(F990="",G990=""),"",(G990-F990)*1440)</f>
        <v/>
      </c>
      <c r="I990" s="8" t="n"/>
      <c r="J990" s="8" t="n"/>
      <c r="K990" s="8" t="n"/>
      <c r="L990" s="8" t="n"/>
      <c r="M990" s="8" t="n"/>
      <c r="O990" s="8" t="n"/>
      <c r="P990" s="8" t="n"/>
      <c r="Q990" s="8" t="n"/>
      <c r="R990" s="8" t="n"/>
      <c r="S990" s="8" t="n"/>
      <c r="T990" s="8" t="n"/>
      <c r="U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7">
        <f>IF(OR(F991="",G991=""),"",(G991-F991)*1440)</f>
        <v/>
      </c>
      <c r="I991" s="8" t="n"/>
      <c r="J991" s="8" t="n"/>
      <c r="K991" s="8" t="n"/>
      <c r="L991" s="8" t="n"/>
      <c r="M991" s="8" t="n"/>
      <c r="O991" s="8" t="n"/>
      <c r="P991" s="8" t="n"/>
      <c r="Q991" s="8" t="n"/>
      <c r="R991" s="8" t="n"/>
      <c r="S991" s="8" t="n"/>
      <c r="T991" s="8" t="n"/>
      <c r="U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7">
        <f>IF(OR(F992="",G992=""),"",(G992-F992)*1440)</f>
        <v/>
      </c>
      <c r="I992" s="8" t="n"/>
      <c r="J992" s="8" t="n"/>
      <c r="K992" s="8" t="n"/>
      <c r="L992" s="8" t="n"/>
      <c r="M992" s="8" t="n"/>
      <c r="O992" s="8" t="n"/>
      <c r="P992" s="8" t="n"/>
      <c r="Q992" s="8" t="n"/>
      <c r="R992" s="8" t="n"/>
      <c r="S992" s="8" t="n"/>
      <c r="T992" s="8" t="n"/>
      <c r="U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7">
        <f>IF(OR(F993="",G993=""),"",(G993-F993)*1440)</f>
        <v/>
      </c>
      <c r="I993" s="8" t="n"/>
      <c r="J993" s="8" t="n"/>
      <c r="K993" s="8" t="n"/>
      <c r="L993" s="8" t="n"/>
      <c r="M993" s="8" t="n"/>
      <c r="O993" s="8" t="n"/>
      <c r="P993" s="8" t="n"/>
      <c r="Q993" s="8" t="n"/>
      <c r="R993" s="8" t="n"/>
      <c r="S993" s="8" t="n"/>
      <c r="T993" s="8" t="n"/>
      <c r="U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7">
        <f>IF(OR(F994="",G994=""),"",(G994-F994)*1440)</f>
        <v/>
      </c>
      <c r="I994" s="8" t="n"/>
      <c r="J994" s="8" t="n"/>
      <c r="K994" s="8" t="n"/>
      <c r="L994" s="8" t="n"/>
      <c r="M994" s="8" t="n"/>
      <c r="O994" s="8" t="n"/>
      <c r="P994" s="8" t="n"/>
      <c r="Q994" s="8" t="n"/>
      <c r="R994" s="8" t="n"/>
      <c r="S994" s="8" t="n"/>
      <c r="T994" s="8" t="n"/>
      <c r="U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7">
        <f>IF(OR(F995="",G995=""),"",(G995-F995)*1440)</f>
        <v/>
      </c>
      <c r="I995" s="8" t="n"/>
      <c r="J995" s="8" t="n"/>
      <c r="K995" s="8" t="n"/>
      <c r="L995" s="8" t="n"/>
      <c r="M995" s="8" t="n"/>
      <c r="O995" s="8" t="n"/>
      <c r="P995" s="8" t="n"/>
      <c r="Q995" s="8" t="n"/>
      <c r="R995" s="8" t="n"/>
      <c r="S995" s="8" t="n"/>
      <c r="T995" s="8" t="n"/>
      <c r="U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7">
        <f>IF(OR(F996="",G996=""),"",(G996-F996)*1440)</f>
        <v/>
      </c>
      <c r="I996" s="8" t="n"/>
      <c r="J996" s="8" t="n"/>
      <c r="K996" s="8" t="n"/>
      <c r="L996" s="8" t="n"/>
      <c r="M996" s="8" t="n"/>
      <c r="O996" s="8" t="n"/>
      <c r="P996" s="8" t="n"/>
      <c r="Q996" s="8" t="n"/>
      <c r="R996" s="8" t="n"/>
      <c r="S996" s="8" t="n"/>
      <c r="T996" s="8" t="n"/>
      <c r="U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7">
        <f>IF(OR(F997="",G997=""),"",(G997-F997)*1440)</f>
        <v/>
      </c>
      <c r="I997" s="8" t="n"/>
      <c r="J997" s="8" t="n"/>
      <c r="K997" s="8" t="n"/>
      <c r="L997" s="8" t="n"/>
      <c r="M997" s="8" t="n"/>
      <c r="O997" s="8" t="n"/>
      <c r="P997" s="8" t="n"/>
      <c r="Q997" s="8" t="n"/>
      <c r="R997" s="8" t="n"/>
      <c r="S997" s="8" t="n"/>
      <c r="T997" s="8" t="n"/>
      <c r="U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7">
        <f>IF(OR(F998="",G998=""),"",(G998-F998)*1440)</f>
        <v/>
      </c>
      <c r="I998" s="8" t="n"/>
      <c r="J998" s="8" t="n"/>
      <c r="K998" s="8" t="n"/>
      <c r="L998" s="8" t="n"/>
      <c r="M998" s="8" t="n"/>
      <c r="O998" s="8" t="n"/>
      <c r="P998" s="8" t="n"/>
      <c r="Q998" s="8" t="n"/>
      <c r="R998" s="8" t="n"/>
      <c r="S998" s="8" t="n"/>
      <c r="T998" s="8" t="n"/>
      <c r="U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7">
        <f>IF(OR(F999="",G999=""),"",(G999-F999)*1440)</f>
        <v/>
      </c>
      <c r="I999" s="8" t="n"/>
      <c r="J999" s="8" t="n"/>
      <c r="K999" s="8" t="n"/>
      <c r="L999" s="8" t="n"/>
      <c r="M999" s="8" t="n"/>
      <c r="O999" s="8" t="n"/>
      <c r="P999" s="8" t="n"/>
      <c r="Q999" s="8" t="n"/>
      <c r="R999" s="8" t="n"/>
      <c r="S999" s="8" t="n"/>
      <c r="T999" s="8" t="n"/>
      <c r="U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7">
        <f>IF(OR(F1000="",G1000=""),"",(G1000-F1000)*1440)</f>
        <v/>
      </c>
      <c r="I1000" s="8" t="n"/>
      <c r="J1000" s="8" t="n"/>
      <c r="K1000" s="8" t="n"/>
      <c r="L1000" s="8" t="n"/>
      <c r="M1000" s="8" t="n"/>
      <c r="O1000" s="8" t="n"/>
      <c r="P1000" s="8" t="n"/>
      <c r="Q1000" s="8" t="n"/>
      <c r="R1000" s="8" t="n"/>
      <c r="S1000" s="8" t="n"/>
      <c r="T1000" s="8" t="n"/>
      <c r="U1000" s="8" t="n"/>
    </row>
    <row r="1001">
      <c r="A1001" s="8" t="n"/>
      <c r="B1001" s="8" t="n"/>
      <c r="C1001" s="8" t="n"/>
      <c r="D1001" s="8" t="n"/>
      <c r="E1001" s="8" t="n"/>
      <c r="F1001" s="8" t="n"/>
      <c r="G1001" s="8" t="n"/>
      <c r="H1001" s="7">
        <f>IF(OR(F1001="",G1001=""),"",(G1001-F1001)*1440)</f>
        <v/>
      </c>
      <c r="I1001" s="8" t="n"/>
      <c r="J1001" s="8" t="n"/>
      <c r="K1001" s="8" t="n"/>
      <c r="L1001" s="8" t="n"/>
      <c r="M1001" s="8" t="n"/>
      <c r="O1001" s="8" t="n"/>
      <c r="P1001" s="8" t="n"/>
      <c r="Q1001" s="8" t="n"/>
      <c r="R1001" s="8" t="n"/>
      <c r="S1001" s="8" t="n"/>
      <c r="T1001" s="8" t="n"/>
      <c r="U1001" s="8" t="n"/>
    </row>
    <row r="1002">
      <c r="A1002" s="8" t="n"/>
      <c r="B1002" s="8" t="n"/>
      <c r="C1002" s="8" t="n"/>
      <c r="D1002" s="8" t="n"/>
      <c r="E1002" s="8" t="n"/>
      <c r="F1002" s="8" t="n"/>
      <c r="G1002" s="8" t="n"/>
      <c r="H1002" s="7">
        <f>IF(OR(F1002="",G1002=""),"",(G1002-F1002)*1440)</f>
        <v/>
      </c>
      <c r="I1002" s="8" t="n"/>
      <c r="J1002" s="8" t="n"/>
      <c r="K1002" s="8" t="n"/>
      <c r="L1002" s="8" t="n"/>
      <c r="M1002" s="8" t="n"/>
      <c r="O1002" s="8" t="n"/>
      <c r="P1002" s="8" t="n"/>
      <c r="Q1002" s="8" t="n"/>
      <c r="R1002" s="8" t="n"/>
      <c r="S1002" s="8" t="n"/>
      <c r="T1002" s="8" t="n"/>
      <c r="U1002" s="8" t="n"/>
    </row>
  </sheetData>
  <autoFilter ref="A2:T1002"/>
  <mergeCells count="1">
    <mergeCell ref="A1:T1"/>
  </mergeCells>
  <pageMargins left="0.75" right="0.75" top="1" bottom="1" header="0.511811023622047" footer="0.511811023622047"/>
  <pageSetup orientation="portrait" paperSize="9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errorTitle="드롭다운 선택 필요" error="목록에서 선택해 주세요. 자유 입력 시 중복분석에 집계되지 않습니다.">
          <x14:formula1>
            <xm:f>'06_분류코드'!$D$4:$D$6</xm:f>
          </x14:formula1>
          <x14:formula2>
            <xm:f>0</xm:f>
          </x14:formula2>
          <xm:sqref>A3:A1002</xm:sqref>
        </x14:dataValidation>
        <x14:dataValidation type="list" allowBlank="1" errorTitle="드롭다운 선택 필요" error="목록에서 선택해 주세요. 자유 입력 시 중복분석에 집계되지 않습니다.">
          <x14:formula1>
            <xm:f>'06_분류코드'!$L$4:$L$14</xm:f>
          </x14:formula1>
          <x14:formula2>
            <xm:f>0</xm:f>
          </x14:formula2>
          <xm:sqref>I3:I1002</xm:sqref>
        </x14:dataValidation>
        <x14:dataValidation type="list" allowBlank="1" errorTitle="드롭다운 선택 필요" error="목록에서 선택해 주세요. 자유 입력 시 중복분석에 집계되지 않습니다.">
          <x14:formula1>
            <xm:f>'06_분류코드'!$B$4:$B$64</xm:f>
          </x14:formula1>
          <x14:formula2>
            <xm:f>0</xm:f>
          </x14:formula2>
          <xm:sqref>J3:J1002</xm:sqref>
        </x14:dataValidation>
        <x14:dataValidation type="list" allowBlank="1" errorTitle="드롭다운 선택 필요" error="목록에서 선택해 주세요. 자유 입력 시 중복분석에 집계되지 않습니다.">
          <x14:formula1>
            <xm:f>'06_분류코드'!$F$4:$F$10</xm:f>
          </x14:formula1>
          <x14:formula2>
            <xm:f>0</xm:f>
          </x14:formula2>
          <xm:sqref>R3:R1002</xm:sqref>
        </x14:dataValidation>
        <x14:dataValidation type="list" allowBlank="1" errorTitle="드롭다운 선택 필요" error="목록에서 선택해 주세요. 자유 입력 시 중복분석에 집계되지 않습니다.">
          <x14:formula1>
            <xm:f>'06_분류코드'!$H$4:$H$6</xm:f>
          </x14:formula1>
          <x14:formula2>
            <xm:f>0</xm:f>
          </x14:formula2>
          <xm:sqref>S3:S1002</xm:sqref>
        </x14:dataValidation>
        <x14:dataValidation type="list" allowBlank="1" errorTitle="드롭다운 선택 필요" error="목록에서 선택해 주세요. 자유 입력 시 중복분석에 집계되지 않습니다.">
          <x14:formula1>
            <xm:f>'06_분류코드'!$J$4:$J$7</xm:f>
          </x14:formula1>
          <x14:formula2>
            <xm:f>0</xm:f>
          </x14:formula2>
          <xm:sqref>T3:T1002</xm:sqref>
        </x14:dataValidation>
      </x14:dataValidations>
    </ext>
  </extLst>
</worksheet>
</file>

<file path=xl/worksheets/sheet5.xml><?xml version="1.0" encoding="utf-8"?>
<worksheet xmlns="http://schemas.openxmlformats.org/spreadsheetml/2006/main">
  <sheetPr>
    <tabColor rgb="FFC00000"/>
    <outlinePr summaryBelow="1" summaryRight="1"/>
    <pageSetUpPr/>
  </sheetPr>
  <dimension ref="A1:K82"/>
  <sheetViews>
    <sheetView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13" sqref="O13"/>
    </sheetView>
  </sheetViews>
  <sheetFormatPr baseColWidth="8" defaultColWidth="8.7109375" defaultRowHeight="15"/>
  <cols>
    <col width="16" customWidth="1" style="26" min="1" max="1"/>
    <col width="34" customWidth="1" style="26" min="2" max="2"/>
    <col width="13" customWidth="1" style="26" min="3" max="5"/>
    <col width="10" customWidth="1" style="26" min="6" max="7"/>
    <col width="8" customWidth="1" style="26" min="8" max="9"/>
    <col width="16" customWidth="1" style="26" min="10" max="10"/>
    <col width="13" customWidth="1" style="26" min="11" max="11"/>
  </cols>
  <sheetData>
    <row r="1" ht="25.5" customHeight="1" s="26">
      <c r="A1" s="33" t="inlineStr">
        <is>
          <t>중복업무 자동 분석 — 03_통합데이터 입력 시 자동 계산</t>
        </is>
      </c>
    </row>
    <row r="3">
      <c r="A3" s="38" t="inlineStr">
        <is>
          <t>총 기록 건수</t>
        </is>
      </c>
      <c r="C3" s="38" t="inlineStr">
        <is>
          <t>총 기록 시간(h)</t>
        </is>
      </c>
      <c r="E3" s="38" t="inlineStr">
        <is>
          <t>미디어커머스(h)</t>
        </is>
      </c>
      <c r="G3" s="38" t="inlineStr">
        <is>
          <t>브랜드커머스(h)</t>
        </is>
      </c>
      <c r="I3" s="38" t="inlineStr">
        <is>
          <t>해외제조(h)</t>
        </is>
      </c>
    </row>
    <row r="4" ht="16.5" customHeight="1" s="26">
      <c r="A4" s="37">
        <f>COUNTA('03_통합데이터'!$J$3:$J$1002)</f>
        <v/>
      </c>
      <c r="C4" s="37">
        <f>ROUND(SUM('03_통합데이터'!$H$3:$H$1002)/60,1)</f>
        <v/>
      </c>
      <c r="E4" s="37">
        <f>ROUND(SUMIF('03_통합데이터'!$A$3:$A$1002,"미디어커머스",'03_통합데이터'!$H$3:$H$1002)/60,1)</f>
        <v/>
      </c>
      <c r="G4" s="37">
        <f>ROUND(SUMIF('03_통합데이터'!$A$3:$A$1002,"브랜드커머스",'03_통합데이터'!$H$3:$H$1002)/60,1)</f>
        <v/>
      </c>
      <c r="I4" s="37">
        <f>ROUND(SUMIF('03_통합데이터'!$A$3:$A$1002,"해외제조",'03_통합데이터'!$H$3:$H$1002)/60,1)</f>
        <v/>
      </c>
    </row>
    <row r="6" ht="36" customHeight="1" s="26">
      <c r="A6" s="4" t="inlineStr">
        <is>
          <t>업무 대분류</t>
        </is>
      </c>
      <c r="B6" s="4" t="inlineStr">
        <is>
          <t>업무 중분류</t>
        </is>
      </c>
      <c r="C6" s="4" t="inlineStr">
        <is>
          <t>미디어커머스
(분)</t>
        </is>
      </c>
      <c r="D6" s="4" t="inlineStr">
        <is>
          <t>브랜드커머스
(분)</t>
        </is>
      </c>
      <c r="E6" s="4" t="inlineStr">
        <is>
          <t>해외제조
(분)</t>
        </is>
      </c>
      <c r="F6" s="4" t="inlineStr">
        <is>
          <t>합계(분)</t>
        </is>
      </c>
      <c r="G6" s="4" t="inlineStr">
        <is>
          <t>합계(h)</t>
        </is>
      </c>
      <c r="H6" s="4" t="inlineStr">
        <is>
          <t>수행
팀수</t>
        </is>
      </c>
      <c r="I6" s="4" t="inlineStr">
        <is>
          <t>기록
건수</t>
        </is>
      </c>
      <c r="J6" s="4" t="inlineStr">
        <is>
          <t>중복 판정</t>
        </is>
      </c>
      <c r="K6" s="4" t="inlineStr">
        <is>
          <t>통합
우선순위점수</t>
        </is>
      </c>
    </row>
    <row r="7" ht="18" customHeight="1" s="26">
      <c r="A7" s="11" t="inlineStr">
        <is>
          <t>상품기획·소싱</t>
        </is>
      </c>
      <c r="B7" s="12" t="inlineStr">
        <is>
          <t>PLN-01 신상품 아이템 발굴/시장조사</t>
        </is>
      </c>
      <c r="C7" s="7">
        <f>SUMIFS('03_통합데이터'!$H$3:$H$1002,'03_통합데이터'!$J$3:$J$1002,$B7,'03_통합데이터'!$A$3:$A$1002,"미디어커머스")</f>
        <v/>
      </c>
      <c r="D7" s="7">
        <f>SUMIFS('03_통합데이터'!$H$3:$H$1002,'03_통합데이터'!$J$3:$J$1002,$B7,'03_통합데이터'!$A$3:$A$1002,"브랜드커머스")</f>
        <v/>
      </c>
      <c r="E7" s="7">
        <f>SUMIFS('03_통합데이터'!$H$3:$H$1002,'03_통합데이터'!$J$3:$J$1002,$B7,'03_통합데이터'!$A$3:$A$1002,"해외제조")</f>
        <v/>
      </c>
      <c r="F7" s="7">
        <f>SUM(C7:E7)</f>
        <v/>
      </c>
      <c r="G7" s="7">
        <f>ROUND(F7/60,1)</f>
        <v/>
      </c>
      <c r="H7" s="7">
        <f>IF(C7&gt;0,1,0)+IF(D7&gt;0,1,0)+IF(E7&gt;0,1,0)</f>
        <v/>
      </c>
      <c r="I7" s="7">
        <f>COUNTIF('03_통합데이터'!$J$3:$J$1002,$B7)</f>
        <v/>
      </c>
      <c r="J7" s="6">
        <f>IF(H7&gt;=3,"◎ 3개팀 중복",IF(H7=2,"○ 2개팀 중복",IF(H7=1,"단독 수행","미기록")))</f>
        <v/>
      </c>
      <c r="K7" s="7">
        <f>IF(H7&gt;=2,ROUND(H7*G7,1),0)</f>
        <v/>
      </c>
    </row>
    <row r="8" ht="18" customHeight="1" s="26">
      <c r="A8" s="11" t="inlineStr">
        <is>
          <t>상품기획·소싱</t>
        </is>
      </c>
      <c r="B8" s="12" t="inlineStr">
        <is>
          <t>PLN-02 경쟁사·트렌드 분석</t>
        </is>
      </c>
      <c r="C8" s="7">
        <f>SUMIFS('03_통합데이터'!$H$3:$H$1002,'03_통합데이터'!$J$3:$J$1002,$B8,'03_통합데이터'!$A$3:$A$1002,"미디어커머스")</f>
        <v/>
      </c>
      <c r="D8" s="7">
        <f>SUMIFS('03_통합데이터'!$H$3:$H$1002,'03_통합데이터'!$J$3:$J$1002,$B8,'03_통합데이터'!$A$3:$A$1002,"브랜드커머스")</f>
        <v/>
      </c>
      <c r="E8" s="7">
        <f>SUMIFS('03_통합데이터'!$H$3:$H$1002,'03_통합데이터'!$J$3:$J$1002,$B8,'03_통합데이터'!$A$3:$A$1002,"해외제조")</f>
        <v/>
      </c>
      <c r="F8" s="7">
        <f>SUM(C8:E8)</f>
        <v/>
      </c>
      <c r="G8" s="7">
        <f>ROUND(F8/60,1)</f>
        <v/>
      </c>
      <c r="H8" s="7">
        <f>IF(C8&gt;0,1,0)+IF(D8&gt;0,1,0)+IF(E8&gt;0,1,0)</f>
        <v/>
      </c>
      <c r="I8" s="7">
        <f>COUNTIF('03_통합데이터'!$J$3:$J$1002,$B8)</f>
        <v/>
      </c>
      <c r="J8" s="6">
        <f>IF(H8&gt;=3,"◎ 3개팀 중복",IF(H8=2,"○ 2개팀 중복",IF(H8=1,"단독 수행","미기록")))</f>
        <v/>
      </c>
      <c r="K8" s="7">
        <f>IF(H8&gt;=2,ROUND(H8*G8,1),0)</f>
        <v/>
      </c>
    </row>
    <row r="9" ht="18" customHeight="1" s="26">
      <c r="A9" s="11" t="inlineStr">
        <is>
          <t>상품기획·소싱</t>
        </is>
      </c>
      <c r="B9" s="12" t="inlineStr">
        <is>
          <t>PLN-03 원가·판가(마진) 설계</t>
        </is>
      </c>
      <c r="C9" s="7">
        <f>SUMIFS('03_통합데이터'!$H$3:$H$1002,'03_통합데이터'!$J$3:$J$1002,$B9,'03_통합데이터'!$A$3:$A$1002,"미디어커머스")</f>
        <v/>
      </c>
      <c r="D9" s="7">
        <f>SUMIFS('03_통합데이터'!$H$3:$H$1002,'03_통합데이터'!$J$3:$J$1002,$B9,'03_통합데이터'!$A$3:$A$1002,"브랜드커머스")</f>
        <v/>
      </c>
      <c r="E9" s="7">
        <f>SUMIFS('03_통합데이터'!$H$3:$H$1002,'03_통합데이터'!$J$3:$J$1002,$B9,'03_통합데이터'!$A$3:$A$1002,"해외제조")</f>
        <v/>
      </c>
      <c r="F9" s="7">
        <f>SUM(C9:E9)</f>
        <v/>
      </c>
      <c r="G9" s="7">
        <f>ROUND(F9/60,1)</f>
        <v/>
      </c>
      <c r="H9" s="7">
        <f>IF(C9&gt;0,1,0)+IF(D9&gt;0,1,0)+IF(E9&gt;0,1,0)</f>
        <v/>
      </c>
      <c r="I9" s="7">
        <f>COUNTIF('03_통합데이터'!$J$3:$J$1002,$B9)</f>
        <v/>
      </c>
      <c r="J9" s="6">
        <f>IF(H9&gt;=3,"◎ 3개팀 중복",IF(H9=2,"○ 2개팀 중복",IF(H9=1,"단독 수행","미기록")))</f>
        <v/>
      </c>
      <c r="K9" s="7">
        <f>IF(H9&gt;=2,ROUND(H9*G9,1),0)</f>
        <v/>
      </c>
    </row>
    <row r="10" ht="18" customHeight="1" s="26">
      <c r="A10" s="11" t="inlineStr">
        <is>
          <t>상품기획·소싱</t>
        </is>
      </c>
      <c r="B10" s="12" t="inlineStr">
        <is>
          <t>PLN-04 공급처(벤더) 발굴·컨택</t>
        </is>
      </c>
      <c r="C10" s="7">
        <f>SUMIFS('03_통합데이터'!$H$3:$H$1002,'03_통합데이터'!$J$3:$J$1002,$B10,'03_통합데이터'!$A$3:$A$1002,"미디어커머스")</f>
        <v/>
      </c>
      <c r="D10" s="7">
        <f>SUMIFS('03_통합데이터'!$H$3:$H$1002,'03_통합데이터'!$J$3:$J$1002,$B10,'03_통합데이터'!$A$3:$A$1002,"브랜드커머스")</f>
        <v/>
      </c>
      <c r="E10" s="7">
        <f>SUMIFS('03_통합데이터'!$H$3:$H$1002,'03_통합데이터'!$J$3:$J$1002,$B10,'03_통합데이터'!$A$3:$A$1002,"해외제조")</f>
        <v/>
      </c>
      <c r="F10" s="7">
        <f>SUM(C10:E10)</f>
        <v/>
      </c>
      <c r="G10" s="7">
        <f>ROUND(F10/60,1)</f>
        <v/>
      </c>
      <c r="H10" s="7">
        <f>IF(C10&gt;0,1,0)+IF(D10&gt;0,1,0)+IF(E10&gt;0,1,0)</f>
        <v/>
      </c>
      <c r="I10" s="7">
        <f>COUNTIF('03_통합데이터'!$J$3:$J$1002,$B10)</f>
        <v/>
      </c>
      <c r="J10" s="6">
        <f>IF(H10&gt;=3,"◎ 3개팀 중복",IF(H10=2,"○ 2개팀 중복",IF(H10=1,"단독 수행","미기록")))</f>
        <v/>
      </c>
      <c r="K10" s="7">
        <f>IF(H10&gt;=2,ROUND(H10*G10,1),0)</f>
        <v/>
      </c>
    </row>
    <row r="11" ht="18" customHeight="1" s="26">
      <c r="A11" s="11" t="inlineStr">
        <is>
          <t>상품기획·소싱</t>
        </is>
      </c>
      <c r="B11" s="12" t="inlineStr">
        <is>
          <t>PLN-05 샘플 요청·검토</t>
        </is>
      </c>
      <c r="C11" s="7">
        <f>SUMIFS('03_통합데이터'!$H$3:$H$1002,'03_통합데이터'!$J$3:$J$1002,$B11,'03_통합데이터'!$A$3:$A$1002,"미디어커머스")</f>
        <v/>
      </c>
      <c r="D11" s="7">
        <f>SUMIFS('03_통합데이터'!$H$3:$H$1002,'03_통합데이터'!$J$3:$J$1002,$B11,'03_통합데이터'!$A$3:$A$1002,"브랜드커머스")</f>
        <v/>
      </c>
      <c r="E11" s="7">
        <f>SUMIFS('03_통합데이터'!$H$3:$H$1002,'03_통합데이터'!$J$3:$J$1002,$B11,'03_통합데이터'!$A$3:$A$1002,"해외제조")</f>
        <v/>
      </c>
      <c r="F11" s="7">
        <f>SUM(C11:E11)</f>
        <v/>
      </c>
      <c r="G11" s="7">
        <f>ROUND(F11/60,1)</f>
        <v/>
      </c>
      <c r="H11" s="7">
        <f>IF(C11&gt;0,1,0)+IF(D11&gt;0,1,0)+IF(E11&gt;0,1,0)</f>
        <v/>
      </c>
      <c r="I11" s="7">
        <f>COUNTIF('03_통합데이터'!$J$3:$J$1002,$B11)</f>
        <v/>
      </c>
      <c r="J11" s="6">
        <f>IF(H11&gt;=3,"◎ 3개팀 중복",IF(H11=2,"○ 2개팀 중복",IF(H11=1,"단독 수행","미기록")))</f>
        <v/>
      </c>
      <c r="K11" s="7">
        <f>IF(H11&gt;=2,ROUND(H11*G11,1),0)</f>
        <v/>
      </c>
    </row>
    <row r="12" ht="18" customHeight="1" s="26">
      <c r="A12" s="11" t="inlineStr">
        <is>
          <t>상품기획·소싱</t>
        </is>
      </c>
      <c r="B12" s="12" t="inlineStr">
        <is>
          <t>PLN-06 상품 스펙·사양 확정</t>
        </is>
      </c>
      <c r="C12" s="7">
        <f>SUMIFS('03_통합데이터'!$H$3:$H$1002,'03_통합데이터'!$J$3:$J$1002,$B12,'03_통합데이터'!$A$3:$A$1002,"미디어커머스")</f>
        <v/>
      </c>
      <c r="D12" s="7">
        <f>SUMIFS('03_통합데이터'!$H$3:$H$1002,'03_통합데이터'!$J$3:$J$1002,$B12,'03_통합데이터'!$A$3:$A$1002,"브랜드커머스")</f>
        <v/>
      </c>
      <c r="E12" s="7">
        <f>SUMIFS('03_통합데이터'!$H$3:$H$1002,'03_통합데이터'!$J$3:$J$1002,$B12,'03_통합데이터'!$A$3:$A$1002,"해외제조")</f>
        <v/>
      </c>
      <c r="F12" s="7">
        <f>SUM(C12:E12)</f>
        <v/>
      </c>
      <c r="G12" s="7">
        <f>ROUND(F12/60,1)</f>
        <v/>
      </c>
      <c r="H12" s="7">
        <f>IF(C12&gt;0,1,0)+IF(D12&gt;0,1,0)+IF(E12&gt;0,1,0)</f>
        <v/>
      </c>
      <c r="I12" s="7">
        <f>COUNTIF('03_통합데이터'!$J$3:$J$1002,$B12)</f>
        <v/>
      </c>
      <c r="J12" s="6">
        <f>IF(H12&gt;=3,"◎ 3개팀 중복",IF(H12=2,"○ 2개팀 중복",IF(H12=1,"단독 수행","미기록")))</f>
        <v/>
      </c>
      <c r="K12" s="7">
        <f>IF(H12&gt;=2,ROUND(H12*G12,1),0)</f>
        <v/>
      </c>
    </row>
    <row r="13" ht="18" customHeight="1" s="26">
      <c r="A13" s="11" t="inlineStr">
        <is>
          <t>제조·생산관리</t>
        </is>
      </c>
      <c r="B13" s="12" t="inlineStr">
        <is>
          <t>MFG-01 해외공장/거래처 커뮤니케이션</t>
        </is>
      </c>
      <c r="C13" s="7">
        <f>SUMIFS('03_통합데이터'!$H$3:$H$1002,'03_통합데이터'!$J$3:$J$1002,$B13,'03_통합데이터'!$A$3:$A$1002,"미디어커머스")</f>
        <v/>
      </c>
      <c r="D13" s="7">
        <f>SUMIFS('03_통합데이터'!$H$3:$H$1002,'03_통합데이터'!$J$3:$J$1002,$B13,'03_통합데이터'!$A$3:$A$1002,"브랜드커머스")</f>
        <v/>
      </c>
      <c r="E13" s="7">
        <f>SUMIFS('03_통합데이터'!$H$3:$H$1002,'03_통합데이터'!$J$3:$J$1002,$B13,'03_통합데이터'!$A$3:$A$1002,"해외제조")</f>
        <v/>
      </c>
      <c r="F13" s="7">
        <f>SUM(C13:E13)</f>
        <v/>
      </c>
      <c r="G13" s="7">
        <f>ROUND(F13/60,1)</f>
        <v/>
      </c>
      <c r="H13" s="7">
        <f>IF(C13&gt;0,1,0)+IF(D13&gt;0,1,0)+IF(E13&gt;0,1,0)</f>
        <v/>
      </c>
      <c r="I13" s="7">
        <f>COUNTIF('03_통합데이터'!$J$3:$J$1002,$B13)</f>
        <v/>
      </c>
      <c r="J13" s="6">
        <f>IF(H13&gt;=3,"◎ 3개팀 중복",IF(H13=2,"○ 2개팀 중복",IF(H13=1,"단독 수행","미기록")))</f>
        <v/>
      </c>
      <c r="K13" s="7">
        <f>IF(H13&gt;=2,ROUND(H13*G13,1),0)</f>
        <v/>
      </c>
    </row>
    <row r="14" ht="18" customHeight="1" s="26">
      <c r="A14" s="11" t="inlineStr">
        <is>
          <t>제조·생산관리</t>
        </is>
      </c>
      <c r="B14" s="12" t="inlineStr">
        <is>
          <t>MFG-02 발주(PO) 작성·전송</t>
        </is>
      </c>
      <c r="C14" s="7">
        <f>SUMIFS('03_통합데이터'!$H$3:$H$1002,'03_통합데이터'!$J$3:$J$1002,$B14,'03_통합데이터'!$A$3:$A$1002,"미디어커머스")</f>
        <v/>
      </c>
      <c r="D14" s="7">
        <f>SUMIFS('03_통합데이터'!$H$3:$H$1002,'03_통합데이터'!$J$3:$J$1002,$B14,'03_통합데이터'!$A$3:$A$1002,"브랜드커머스")</f>
        <v/>
      </c>
      <c r="E14" s="7">
        <f>SUMIFS('03_통합데이터'!$H$3:$H$1002,'03_통합데이터'!$J$3:$J$1002,$B14,'03_통합데이터'!$A$3:$A$1002,"해외제조")</f>
        <v/>
      </c>
      <c r="F14" s="7">
        <f>SUM(C14:E14)</f>
        <v/>
      </c>
      <c r="G14" s="7">
        <f>ROUND(F14/60,1)</f>
        <v/>
      </c>
      <c r="H14" s="7">
        <f>IF(C14&gt;0,1,0)+IF(D14&gt;0,1,0)+IF(E14&gt;0,1,0)</f>
        <v/>
      </c>
      <c r="I14" s="7">
        <f>COUNTIF('03_통합데이터'!$J$3:$J$1002,$B14)</f>
        <v/>
      </c>
      <c r="J14" s="6">
        <f>IF(H14&gt;=3,"◎ 3개팀 중복",IF(H14=2,"○ 2개팀 중복",IF(H14=1,"단독 수행","미기록")))</f>
        <v/>
      </c>
      <c r="K14" s="7">
        <f>IF(H14&gt;=2,ROUND(H14*G14,1),0)</f>
        <v/>
      </c>
    </row>
    <row r="15" ht="18" customHeight="1" s="26">
      <c r="A15" s="11" t="inlineStr">
        <is>
          <t>제조·생산관리</t>
        </is>
      </c>
      <c r="B15" s="12" t="inlineStr">
        <is>
          <t>MFG-03 생산일정 관리·납기 독촉</t>
        </is>
      </c>
      <c r="C15" s="7">
        <f>SUMIFS('03_통합데이터'!$H$3:$H$1002,'03_통합데이터'!$J$3:$J$1002,$B15,'03_통합데이터'!$A$3:$A$1002,"미디어커머스")</f>
        <v/>
      </c>
      <c r="D15" s="7">
        <f>SUMIFS('03_통합데이터'!$H$3:$H$1002,'03_통합데이터'!$J$3:$J$1002,$B15,'03_통합데이터'!$A$3:$A$1002,"브랜드커머스")</f>
        <v/>
      </c>
      <c r="E15" s="7">
        <f>SUMIFS('03_통합데이터'!$H$3:$H$1002,'03_통합데이터'!$J$3:$J$1002,$B15,'03_통합데이터'!$A$3:$A$1002,"해외제조")</f>
        <v/>
      </c>
      <c r="F15" s="7">
        <f>SUM(C15:E15)</f>
        <v/>
      </c>
      <c r="G15" s="7">
        <f>ROUND(F15/60,1)</f>
        <v/>
      </c>
      <c r="H15" s="7">
        <f>IF(C15&gt;0,1,0)+IF(D15&gt;0,1,0)+IF(E15&gt;0,1,0)</f>
        <v/>
      </c>
      <c r="I15" s="7">
        <f>COUNTIF('03_통합데이터'!$J$3:$J$1002,$B15)</f>
        <v/>
      </c>
      <c r="J15" s="6">
        <f>IF(H15&gt;=3,"◎ 3개팀 중복",IF(H15=2,"○ 2개팀 중복",IF(H15=1,"단독 수행","미기록")))</f>
        <v/>
      </c>
      <c r="K15" s="7">
        <f>IF(H15&gt;=2,ROUND(H15*G15,1),0)</f>
        <v/>
      </c>
    </row>
    <row r="16" ht="18" customHeight="1" s="26">
      <c r="A16" s="11" t="inlineStr">
        <is>
          <t>제조·생산관리</t>
        </is>
      </c>
      <c r="B16" s="12" t="inlineStr">
        <is>
          <t>MFG-04 품질검사(QC)·불량 대응</t>
        </is>
      </c>
      <c r="C16" s="7">
        <f>SUMIFS('03_통합데이터'!$H$3:$H$1002,'03_통합데이터'!$J$3:$J$1002,$B16,'03_통합데이터'!$A$3:$A$1002,"미디어커머스")</f>
        <v/>
      </c>
      <c r="D16" s="7">
        <f>SUMIFS('03_통합데이터'!$H$3:$H$1002,'03_통합데이터'!$J$3:$J$1002,$B16,'03_통합데이터'!$A$3:$A$1002,"브랜드커머스")</f>
        <v/>
      </c>
      <c r="E16" s="7">
        <f>SUMIFS('03_통합데이터'!$H$3:$H$1002,'03_통합데이터'!$J$3:$J$1002,$B16,'03_통합데이터'!$A$3:$A$1002,"해외제조")</f>
        <v/>
      </c>
      <c r="F16" s="7">
        <f>SUM(C16:E16)</f>
        <v/>
      </c>
      <c r="G16" s="7">
        <f>ROUND(F16/60,1)</f>
        <v/>
      </c>
      <c r="H16" s="7">
        <f>IF(C16&gt;0,1,0)+IF(D16&gt;0,1,0)+IF(E16&gt;0,1,0)</f>
        <v/>
      </c>
      <c r="I16" s="7">
        <f>COUNTIF('03_통합데이터'!$J$3:$J$1002,$B16)</f>
        <v/>
      </c>
      <c r="J16" s="6">
        <f>IF(H16&gt;=3,"◎ 3개팀 중복",IF(H16=2,"○ 2개팀 중복",IF(H16=1,"단독 수행","미기록")))</f>
        <v/>
      </c>
      <c r="K16" s="7">
        <f>IF(H16&gt;=2,ROUND(H16*G16,1),0)</f>
        <v/>
      </c>
    </row>
    <row r="17" ht="18" customHeight="1" s="26">
      <c r="A17" s="11" t="inlineStr">
        <is>
          <t>제조·생산관리</t>
        </is>
      </c>
      <c r="B17" s="12" t="inlineStr">
        <is>
          <t>MFG-05 수입통관·인증(KC 등) 처리</t>
        </is>
      </c>
      <c r="C17" s="7">
        <f>SUMIFS('03_통합데이터'!$H$3:$H$1002,'03_통합데이터'!$J$3:$J$1002,$B17,'03_통합데이터'!$A$3:$A$1002,"미디어커머스")</f>
        <v/>
      </c>
      <c r="D17" s="7">
        <f>SUMIFS('03_통합데이터'!$H$3:$H$1002,'03_통합데이터'!$J$3:$J$1002,$B17,'03_통합데이터'!$A$3:$A$1002,"브랜드커머스")</f>
        <v/>
      </c>
      <c r="E17" s="7">
        <f>SUMIFS('03_통합데이터'!$H$3:$H$1002,'03_통합데이터'!$J$3:$J$1002,$B17,'03_통합데이터'!$A$3:$A$1002,"해외제조")</f>
        <v/>
      </c>
      <c r="F17" s="7">
        <f>SUM(C17:E17)</f>
        <v/>
      </c>
      <c r="G17" s="7">
        <f>ROUND(F17/60,1)</f>
        <v/>
      </c>
      <c r="H17" s="7">
        <f>IF(C17&gt;0,1,0)+IF(D17&gt;0,1,0)+IF(E17&gt;0,1,0)</f>
        <v/>
      </c>
      <c r="I17" s="7">
        <f>COUNTIF('03_통합데이터'!$J$3:$J$1002,$B17)</f>
        <v/>
      </c>
      <c r="J17" s="6">
        <f>IF(H17&gt;=3,"◎ 3개팀 중복",IF(H17=2,"○ 2개팀 중복",IF(H17=1,"단독 수행","미기록")))</f>
        <v/>
      </c>
      <c r="K17" s="7">
        <f>IF(H17&gt;=2,ROUND(H17*G17,1),0)</f>
        <v/>
      </c>
    </row>
    <row r="18" ht="18" customHeight="1" s="26">
      <c r="A18" s="11" t="inlineStr">
        <is>
          <t>제조·생산관리</t>
        </is>
      </c>
      <c r="B18" s="12" t="inlineStr">
        <is>
          <t>MFG-06 선적·입고 일정 관리</t>
        </is>
      </c>
      <c r="C18" s="7">
        <f>SUMIFS('03_통합데이터'!$H$3:$H$1002,'03_통합데이터'!$J$3:$J$1002,$B18,'03_통합데이터'!$A$3:$A$1002,"미디어커머스")</f>
        <v/>
      </c>
      <c r="D18" s="7">
        <f>SUMIFS('03_통합데이터'!$H$3:$H$1002,'03_통합데이터'!$J$3:$J$1002,$B18,'03_통합데이터'!$A$3:$A$1002,"브랜드커머스")</f>
        <v/>
      </c>
      <c r="E18" s="7">
        <f>SUMIFS('03_통합데이터'!$H$3:$H$1002,'03_통합데이터'!$J$3:$J$1002,$B18,'03_통합데이터'!$A$3:$A$1002,"해외제조")</f>
        <v/>
      </c>
      <c r="F18" s="7">
        <f>SUM(C18:E18)</f>
        <v/>
      </c>
      <c r="G18" s="7">
        <f>ROUND(F18/60,1)</f>
        <v/>
      </c>
      <c r="H18" s="7">
        <f>IF(C18&gt;0,1,0)+IF(D18&gt;0,1,0)+IF(E18&gt;0,1,0)</f>
        <v/>
      </c>
      <c r="I18" s="7">
        <f>COUNTIF('03_통합데이터'!$J$3:$J$1002,$B18)</f>
        <v/>
      </c>
      <c r="J18" s="6">
        <f>IF(H18&gt;=3,"◎ 3개팀 중복",IF(H18=2,"○ 2개팀 중복",IF(H18=1,"단독 수행","미기록")))</f>
        <v/>
      </c>
      <c r="K18" s="7">
        <f>IF(H18&gt;=2,ROUND(H18*G18,1),0)</f>
        <v/>
      </c>
    </row>
    <row r="19" ht="18" customHeight="1" s="26">
      <c r="A19" s="11" t="inlineStr">
        <is>
          <t>제조·생산관리</t>
        </is>
      </c>
      <c r="B19" s="12" t="inlineStr">
        <is>
          <t>MFG-07 단가 협상·계약</t>
        </is>
      </c>
      <c r="C19" s="7">
        <f>SUMIFS('03_통합데이터'!$H$3:$H$1002,'03_통합데이터'!$J$3:$J$1002,$B19,'03_통합데이터'!$A$3:$A$1002,"미디어커머스")</f>
        <v/>
      </c>
      <c r="D19" s="7">
        <f>SUMIFS('03_통합데이터'!$H$3:$H$1002,'03_통합데이터'!$J$3:$J$1002,$B19,'03_통합데이터'!$A$3:$A$1002,"브랜드커머스")</f>
        <v/>
      </c>
      <c r="E19" s="7">
        <f>SUMIFS('03_통합데이터'!$H$3:$H$1002,'03_통합데이터'!$J$3:$J$1002,$B19,'03_통합데이터'!$A$3:$A$1002,"해외제조")</f>
        <v/>
      </c>
      <c r="F19" s="7">
        <f>SUM(C19:E19)</f>
        <v/>
      </c>
      <c r="G19" s="7">
        <f>ROUND(F19/60,1)</f>
        <v/>
      </c>
      <c r="H19" s="7">
        <f>IF(C19&gt;0,1,0)+IF(D19&gt;0,1,0)+IF(E19&gt;0,1,0)</f>
        <v/>
      </c>
      <c r="I19" s="7">
        <f>COUNTIF('03_통합데이터'!$J$3:$J$1002,$B19)</f>
        <v/>
      </c>
      <c r="J19" s="6">
        <f>IF(H19&gt;=3,"◎ 3개팀 중복",IF(H19=2,"○ 2개팀 중복",IF(H19=1,"단독 수행","미기록")))</f>
        <v/>
      </c>
      <c r="K19" s="7">
        <f>IF(H19&gt;=2,ROUND(H19*G19,1),0)</f>
        <v/>
      </c>
    </row>
    <row r="20" ht="18" customHeight="1" s="26">
      <c r="A20" s="11" t="inlineStr">
        <is>
          <t>제조·생산관리</t>
        </is>
      </c>
      <c r="B20" s="12" t="inlineStr">
        <is>
          <t>MFG-08 MSDS·라벨 등 제품 표시사항 제작</t>
        </is>
      </c>
      <c r="C20" s="7">
        <f>SUMIFS('03_통합데이터'!$H$3:$H$1002,'03_통합데이터'!$J$3:$J$1002,$B20,'03_통합데이터'!$A$3:$A$1002,"미디어커머스")</f>
        <v/>
      </c>
      <c r="D20" s="7">
        <f>SUMIFS('03_통합데이터'!$H$3:$H$1002,'03_통합데이터'!$J$3:$J$1002,$B20,'03_통합데이터'!$A$3:$A$1002,"브랜드커머스")</f>
        <v/>
      </c>
      <c r="E20" s="7">
        <f>SUMIFS('03_통합데이터'!$H$3:$H$1002,'03_통합데이터'!$J$3:$J$1002,$B20,'03_통합데이터'!$A$3:$A$1002,"해외제조")</f>
        <v/>
      </c>
      <c r="F20" s="7">
        <f>SUM(C20:E20)</f>
        <v/>
      </c>
      <c r="G20" s="7">
        <f>ROUND(F20/60,1)</f>
        <v/>
      </c>
      <c r="H20" s="7">
        <f>IF(C20&gt;0,1,0)+IF(D20&gt;0,1,0)+IF(E20&gt;0,1,0)</f>
        <v/>
      </c>
      <c r="I20" s="7">
        <f>COUNTIF('03_통합데이터'!$J$3:$J$1002,$B20)</f>
        <v/>
      </c>
      <c r="J20" s="6">
        <f>IF(H20&gt;=3,"◎ 3개팀 중복",IF(H20=2,"○ 2개팀 중복",IF(H20=1,"단독 수행","미기록")))</f>
        <v/>
      </c>
      <c r="K20" s="7">
        <f>IF(H20&gt;=2,ROUND(H20*G20,1),0)</f>
        <v/>
      </c>
    </row>
    <row r="21" ht="18" customHeight="1" s="26">
      <c r="A21" s="11" t="inlineStr">
        <is>
          <t>마케팅·광고운영</t>
        </is>
      </c>
      <c r="B21" s="12" t="inlineStr">
        <is>
          <t>MKT-01 광고 계정 세팅·집행(메타/구글 등)</t>
        </is>
      </c>
      <c r="C21" s="7">
        <f>SUMIFS('03_통합데이터'!$H$3:$H$1002,'03_통합데이터'!$J$3:$J$1002,$B21,'03_통합데이터'!$A$3:$A$1002,"미디어커머스")</f>
        <v/>
      </c>
      <c r="D21" s="7">
        <f>SUMIFS('03_통합데이터'!$H$3:$H$1002,'03_통합데이터'!$J$3:$J$1002,$B21,'03_통합데이터'!$A$3:$A$1002,"브랜드커머스")</f>
        <v/>
      </c>
      <c r="E21" s="7">
        <f>SUMIFS('03_통합데이터'!$H$3:$H$1002,'03_통합데이터'!$J$3:$J$1002,$B21,'03_통합데이터'!$A$3:$A$1002,"해외제조")</f>
        <v/>
      </c>
      <c r="F21" s="7">
        <f>SUM(C21:E21)</f>
        <v/>
      </c>
      <c r="G21" s="7">
        <f>ROUND(F21/60,1)</f>
        <v/>
      </c>
      <c r="H21" s="7">
        <f>IF(C21&gt;0,1,0)+IF(D21&gt;0,1,0)+IF(E21&gt;0,1,0)</f>
        <v/>
      </c>
      <c r="I21" s="7">
        <f>COUNTIF('03_통합데이터'!$J$3:$J$1002,$B21)</f>
        <v/>
      </c>
      <c r="J21" s="6">
        <f>IF(H21&gt;=3,"◎ 3개팀 중복",IF(H21=2,"○ 2개팀 중복",IF(H21=1,"단독 수행","미기록")))</f>
        <v/>
      </c>
      <c r="K21" s="7">
        <f>IF(H21&gt;=2,ROUND(H21*G21,1),0)</f>
        <v/>
      </c>
    </row>
    <row r="22" ht="18" customHeight="1" s="26">
      <c r="A22" s="11" t="inlineStr">
        <is>
          <t>마케팅·광고운영</t>
        </is>
      </c>
      <c r="B22" s="12" t="inlineStr">
        <is>
          <t>MKT-02 광고 성과 모니터링·최적화</t>
        </is>
      </c>
      <c r="C22" s="7">
        <f>SUMIFS('03_통합데이터'!$H$3:$H$1002,'03_통합데이터'!$J$3:$J$1002,$B22,'03_통합데이터'!$A$3:$A$1002,"미디어커머스")</f>
        <v/>
      </c>
      <c r="D22" s="7">
        <f>SUMIFS('03_통합데이터'!$H$3:$H$1002,'03_통합데이터'!$J$3:$J$1002,$B22,'03_통합데이터'!$A$3:$A$1002,"브랜드커머스")</f>
        <v/>
      </c>
      <c r="E22" s="7">
        <f>SUMIFS('03_통합데이터'!$H$3:$H$1002,'03_통합데이터'!$J$3:$J$1002,$B22,'03_통합데이터'!$A$3:$A$1002,"해외제조")</f>
        <v/>
      </c>
      <c r="F22" s="7">
        <f>SUM(C22:E22)</f>
        <v/>
      </c>
      <c r="G22" s="7">
        <f>ROUND(F22/60,1)</f>
        <v/>
      </c>
      <c r="H22" s="7">
        <f>IF(C22&gt;0,1,0)+IF(D22&gt;0,1,0)+IF(E22&gt;0,1,0)</f>
        <v/>
      </c>
      <c r="I22" s="7">
        <f>COUNTIF('03_통합데이터'!$J$3:$J$1002,$B22)</f>
        <v/>
      </c>
      <c r="J22" s="6">
        <f>IF(H22&gt;=3,"◎ 3개팀 중복",IF(H22=2,"○ 2개팀 중복",IF(H22=1,"단독 수행","미기록")))</f>
        <v/>
      </c>
      <c r="K22" s="7">
        <f>IF(H22&gt;=2,ROUND(H22*G22,1),0)</f>
        <v/>
      </c>
    </row>
    <row r="23" ht="18" customHeight="1" s="26">
      <c r="A23" s="11" t="inlineStr">
        <is>
          <t>마케팅·광고운영</t>
        </is>
      </c>
      <c r="B23" s="12" t="inlineStr">
        <is>
          <t>MKT-03 광고 소재 기획·시안 검토</t>
        </is>
      </c>
      <c r="C23" s="7">
        <f>SUMIFS('03_통합데이터'!$H$3:$H$1002,'03_통합데이터'!$J$3:$J$1002,$B23,'03_통합데이터'!$A$3:$A$1002,"미디어커머스")</f>
        <v/>
      </c>
      <c r="D23" s="7">
        <f>SUMIFS('03_통합데이터'!$H$3:$H$1002,'03_통합데이터'!$J$3:$J$1002,$B23,'03_통합데이터'!$A$3:$A$1002,"브랜드커머스")</f>
        <v/>
      </c>
      <c r="E23" s="7">
        <f>SUMIFS('03_통합데이터'!$H$3:$H$1002,'03_통합데이터'!$J$3:$J$1002,$B23,'03_통합데이터'!$A$3:$A$1002,"해외제조")</f>
        <v/>
      </c>
      <c r="F23" s="7">
        <f>SUM(C23:E23)</f>
        <v/>
      </c>
      <c r="G23" s="7">
        <f>ROUND(F23/60,1)</f>
        <v/>
      </c>
      <c r="H23" s="7">
        <f>IF(C23&gt;0,1,0)+IF(D23&gt;0,1,0)+IF(E23&gt;0,1,0)</f>
        <v/>
      </c>
      <c r="I23" s="7">
        <f>COUNTIF('03_통합데이터'!$J$3:$J$1002,$B23)</f>
        <v/>
      </c>
      <c r="J23" s="6">
        <f>IF(H23&gt;=3,"◎ 3개팀 중복",IF(H23=2,"○ 2개팀 중복",IF(H23=1,"단독 수행","미기록")))</f>
        <v/>
      </c>
      <c r="K23" s="7">
        <f>IF(H23&gt;=2,ROUND(H23*G23,1),0)</f>
        <v/>
      </c>
    </row>
    <row r="24" ht="18" customHeight="1" s="26">
      <c r="A24" s="11" t="inlineStr">
        <is>
          <t>마케팅·광고운영</t>
        </is>
      </c>
      <c r="B24" s="12" t="inlineStr">
        <is>
          <t>MKT-04 인플루언서·체험단 섭외/관리</t>
        </is>
      </c>
      <c r="C24" s="7">
        <f>SUMIFS('03_통합데이터'!$H$3:$H$1002,'03_통합데이터'!$J$3:$J$1002,$B24,'03_통합데이터'!$A$3:$A$1002,"미디어커머스")</f>
        <v/>
      </c>
      <c r="D24" s="7">
        <f>SUMIFS('03_통합데이터'!$H$3:$H$1002,'03_통합데이터'!$J$3:$J$1002,$B24,'03_통합데이터'!$A$3:$A$1002,"브랜드커머스")</f>
        <v/>
      </c>
      <c r="E24" s="7">
        <f>SUMIFS('03_통합데이터'!$H$3:$H$1002,'03_통합데이터'!$J$3:$J$1002,$B24,'03_통합데이터'!$A$3:$A$1002,"해외제조")</f>
        <v/>
      </c>
      <c r="F24" s="7">
        <f>SUM(C24:E24)</f>
        <v/>
      </c>
      <c r="G24" s="7">
        <f>ROUND(F24/60,1)</f>
        <v/>
      </c>
      <c r="H24" s="7">
        <f>IF(C24&gt;0,1,0)+IF(D24&gt;0,1,0)+IF(E24&gt;0,1,0)</f>
        <v/>
      </c>
      <c r="I24" s="7">
        <f>COUNTIF('03_통합데이터'!$J$3:$J$1002,$B24)</f>
        <v/>
      </c>
      <c r="J24" s="6">
        <f>IF(H24&gt;=3,"◎ 3개팀 중복",IF(H24=2,"○ 2개팀 중복",IF(H24=1,"단독 수행","미기록")))</f>
        <v/>
      </c>
      <c r="K24" s="7">
        <f>IF(H24&gt;=2,ROUND(H24*G24,1),0)</f>
        <v/>
      </c>
    </row>
    <row r="25" ht="18" customHeight="1" s="26">
      <c r="A25" s="11" t="inlineStr">
        <is>
          <t>마케팅·광고운영</t>
        </is>
      </c>
      <c r="B25" s="12" t="inlineStr">
        <is>
          <t>MKT-05 프로모션·기획전 기획</t>
        </is>
      </c>
      <c r="C25" s="7">
        <f>SUMIFS('03_통합데이터'!$H$3:$H$1002,'03_통합데이터'!$J$3:$J$1002,$B25,'03_통합데이터'!$A$3:$A$1002,"미디어커머스")</f>
        <v/>
      </c>
      <c r="D25" s="7">
        <f>SUMIFS('03_통합데이터'!$H$3:$H$1002,'03_통합데이터'!$J$3:$J$1002,$B25,'03_통합데이터'!$A$3:$A$1002,"브랜드커머스")</f>
        <v/>
      </c>
      <c r="E25" s="7">
        <f>SUMIFS('03_통합데이터'!$H$3:$H$1002,'03_통합데이터'!$J$3:$J$1002,$B25,'03_통합데이터'!$A$3:$A$1002,"해외제조")</f>
        <v/>
      </c>
      <c r="F25" s="7">
        <f>SUM(C25:E25)</f>
        <v/>
      </c>
      <c r="G25" s="7">
        <f>ROUND(F25/60,1)</f>
        <v/>
      </c>
      <c r="H25" s="7">
        <f>IF(C25&gt;0,1,0)+IF(D25&gt;0,1,0)+IF(E25&gt;0,1,0)</f>
        <v/>
      </c>
      <c r="I25" s="7">
        <f>COUNTIF('03_통합데이터'!$J$3:$J$1002,$B25)</f>
        <v/>
      </c>
      <c r="J25" s="6">
        <f>IF(H25&gt;=3,"◎ 3개팀 중복",IF(H25=2,"○ 2개팀 중복",IF(H25=1,"단독 수행","미기록")))</f>
        <v/>
      </c>
      <c r="K25" s="7">
        <f>IF(H25&gt;=2,ROUND(H25*G25,1),0)</f>
        <v/>
      </c>
    </row>
    <row r="26" ht="18" customHeight="1" s="26">
      <c r="A26" s="11" t="inlineStr">
        <is>
          <t>마케팅·광고운영</t>
        </is>
      </c>
      <c r="B26" s="12" t="inlineStr">
        <is>
          <t>MKT-06 CRM(문자/알림톡/메일) 발송</t>
        </is>
      </c>
      <c r="C26" s="7">
        <f>SUMIFS('03_통합데이터'!$H$3:$H$1002,'03_통합데이터'!$J$3:$J$1002,$B26,'03_통합데이터'!$A$3:$A$1002,"미디어커머스")</f>
        <v/>
      </c>
      <c r="D26" s="7">
        <f>SUMIFS('03_통합데이터'!$H$3:$H$1002,'03_통합데이터'!$J$3:$J$1002,$B26,'03_통합데이터'!$A$3:$A$1002,"브랜드커머스")</f>
        <v/>
      </c>
      <c r="E26" s="7">
        <f>SUMIFS('03_통합데이터'!$H$3:$H$1002,'03_통합데이터'!$J$3:$J$1002,$B26,'03_통합데이터'!$A$3:$A$1002,"해외제조")</f>
        <v/>
      </c>
      <c r="F26" s="7">
        <f>SUM(C26:E26)</f>
        <v/>
      </c>
      <c r="G26" s="7">
        <f>ROUND(F26/60,1)</f>
        <v/>
      </c>
      <c r="H26" s="7">
        <f>IF(C26&gt;0,1,0)+IF(D26&gt;0,1,0)+IF(E26&gt;0,1,0)</f>
        <v/>
      </c>
      <c r="I26" s="7">
        <f>COUNTIF('03_통합데이터'!$J$3:$J$1002,$B26)</f>
        <v/>
      </c>
      <c r="J26" s="6">
        <f>IF(H26&gt;=3,"◎ 3개팀 중복",IF(H26=2,"○ 2개팀 중복",IF(H26=1,"단독 수행","미기록")))</f>
        <v/>
      </c>
      <c r="K26" s="7">
        <f>IF(H26&gt;=2,ROUND(H26*G26,1),0)</f>
        <v/>
      </c>
    </row>
    <row r="27" ht="18" customHeight="1" s="26">
      <c r="A27" s="11" t="inlineStr">
        <is>
          <t>마케팅·광고운영</t>
        </is>
      </c>
      <c r="B27" s="12" t="inlineStr">
        <is>
          <t>MKT-07 대행사 커뮤니케이션·관리</t>
        </is>
      </c>
      <c r="C27" s="7">
        <f>SUMIFS('03_통합데이터'!$H$3:$H$1002,'03_통합데이터'!$J$3:$J$1002,$B27,'03_통합데이터'!$A$3:$A$1002,"미디어커머스")</f>
        <v/>
      </c>
      <c r="D27" s="7">
        <f>SUMIFS('03_통합데이터'!$H$3:$H$1002,'03_통합데이터'!$J$3:$J$1002,$B27,'03_통합데이터'!$A$3:$A$1002,"브랜드커머스")</f>
        <v/>
      </c>
      <c r="E27" s="7">
        <f>SUMIFS('03_통합데이터'!$H$3:$H$1002,'03_통합데이터'!$J$3:$J$1002,$B27,'03_통합데이터'!$A$3:$A$1002,"해외제조")</f>
        <v/>
      </c>
      <c r="F27" s="7">
        <f>SUM(C27:E27)</f>
        <v/>
      </c>
      <c r="G27" s="7">
        <f>ROUND(F27/60,1)</f>
        <v/>
      </c>
      <c r="H27" s="7">
        <f>IF(C27&gt;0,1,0)+IF(D27&gt;0,1,0)+IF(E27&gt;0,1,0)</f>
        <v/>
      </c>
      <c r="I27" s="7">
        <f>COUNTIF('03_통합데이터'!$J$3:$J$1002,$B27)</f>
        <v/>
      </c>
      <c r="J27" s="6">
        <f>IF(H27&gt;=3,"◎ 3개팀 중복",IF(H27=2,"○ 2개팀 중복",IF(H27=1,"단독 수행","미기록")))</f>
        <v/>
      </c>
      <c r="K27" s="7">
        <f>IF(H27&gt;=2,ROUND(H27*G27,1),0)</f>
        <v/>
      </c>
    </row>
    <row r="28" ht="18" customHeight="1" s="26">
      <c r="A28" s="11" t="inlineStr">
        <is>
          <t>마케팅·광고운영</t>
        </is>
      </c>
      <c r="B28" s="12" t="inlineStr">
        <is>
          <t>MKT-08 제휴마케팅(링크프라이스 등) 운영·성과확인</t>
        </is>
      </c>
      <c r="C28" s="7">
        <f>SUMIFS('03_통합데이터'!$H$3:$H$1002,'03_통합데이터'!$J$3:$J$1002,$B28,'03_통합데이터'!$A$3:$A$1002,"미디어커머스")</f>
        <v/>
      </c>
      <c r="D28" s="7">
        <f>SUMIFS('03_통합데이터'!$H$3:$H$1002,'03_통합데이터'!$J$3:$J$1002,$B28,'03_통합데이터'!$A$3:$A$1002,"브랜드커머스")</f>
        <v/>
      </c>
      <c r="E28" s="7">
        <f>SUMIFS('03_통합데이터'!$H$3:$H$1002,'03_통합데이터'!$J$3:$J$1002,$B28,'03_통합데이터'!$A$3:$A$1002,"해외제조")</f>
        <v/>
      </c>
      <c r="F28" s="7">
        <f>SUM(C28:E28)</f>
        <v/>
      </c>
      <c r="G28" s="7">
        <f>ROUND(F28/60,1)</f>
        <v/>
      </c>
      <c r="H28" s="7">
        <f>IF(C28&gt;0,1,0)+IF(D28&gt;0,1,0)+IF(E28&gt;0,1,0)</f>
        <v/>
      </c>
      <c r="I28" s="7">
        <f>COUNTIF('03_통합데이터'!$J$3:$J$1002,$B28)</f>
        <v/>
      </c>
      <c r="J28" s="6">
        <f>IF(H28&gt;=3,"◎ 3개팀 중복",IF(H28=2,"○ 2개팀 중복",IF(H28=1,"단독 수행","미기록")))</f>
        <v/>
      </c>
      <c r="K28" s="7">
        <f>IF(H28&gt;=2,ROUND(H28*G28,1),0)</f>
        <v/>
      </c>
    </row>
    <row r="29" ht="18" customHeight="1" s="26">
      <c r="A29" s="11" t="inlineStr">
        <is>
          <t>콘텐츠제작</t>
        </is>
      </c>
      <c r="B29" s="12" t="inlineStr">
        <is>
          <t>CNT-01 상세페이지 기획·제작</t>
        </is>
      </c>
      <c r="C29" s="7">
        <f>SUMIFS('03_통합데이터'!$H$3:$H$1002,'03_통합데이터'!$J$3:$J$1002,$B29,'03_통합데이터'!$A$3:$A$1002,"미디어커머스")</f>
        <v/>
      </c>
      <c r="D29" s="7">
        <f>SUMIFS('03_통합데이터'!$H$3:$H$1002,'03_통합데이터'!$J$3:$J$1002,$B29,'03_통합데이터'!$A$3:$A$1002,"브랜드커머스")</f>
        <v/>
      </c>
      <c r="E29" s="7">
        <f>SUMIFS('03_통합데이터'!$H$3:$H$1002,'03_통합데이터'!$J$3:$J$1002,$B29,'03_통합데이터'!$A$3:$A$1002,"해외제조")</f>
        <v/>
      </c>
      <c r="F29" s="7">
        <f>SUM(C29:E29)</f>
        <v/>
      </c>
      <c r="G29" s="7">
        <f>ROUND(F29/60,1)</f>
        <v/>
      </c>
      <c r="H29" s="7">
        <f>IF(C29&gt;0,1,0)+IF(D29&gt;0,1,0)+IF(E29&gt;0,1,0)</f>
        <v/>
      </c>
      <c r="I29" s="7">
        <f>COUNTIF('03_통합데이터'!$J$3:$J$1002,$B29)</f>
        <v/>
      </c>
      <c r="J29" s="6">
        <f>IF(H29&gt;=3,"◎ 3개팀 중복",IF(H29=2,"○ 2개팀 중복",IF(H29=1,"단독 수행","미기록")))</f>
        <v/>
      </c>
      <c r="K29" s="7">
        <f>IF(H29&gt;=2,ROUND(H29*G29,1),0)</f>
        <v/>
      </c>
    </row>
    <row r="30" ht="18" customHeight="1" s="26">
      <c r="A30" s="11" t="inlineStr">
        <is>
          <t>콘텐츠제작</t>
        </is>
      </c>
      <c r="B30" s="12" t="inlineStr">
        <is>
          <t>CNT-02 촬영 기획·진행</t>
        </is>
      </c>
      <c r="C30" s="7">
        <f>SUMIFS('03_통합데이터'!$H$3:$H$1002,'03_통합데이터'!$J$3:$J$1002,$B30,'03_통합데이터'!$A$3:$A$1002,"미디어커머스")</f>
        <v/>
      </c>
      <c r="D30" s="7">
        <f>SUMIFS('03_통합데이터'!$H$3:$H$1002,'03_통합데이터'!$J$3:$J$1002,$B30,'03_통합데이터'!$A$3:$A$1002,"브랜드커머스")</f>
        <v/>
      </c>
      <c r="E30" s="7">
        <f>SUMIFS('03_통합데이터'!$H$3:$H$1002,'03_통합데이터'!$J$3:$J$1002,$B30,'03_통합데이터'!$A$3:$A$1002,"해외제조")</f>
        <v/>
      </c>
      <c r="F30" s="7">
        <f>SUM(C30:E30)</f>
        <v/>
      </c>
      <c r="G30" s="7">
        <f>ROUND(F30/60,1)</f>
        <v/>
      </c>
      <c r="H30" s="7">
        <f>IF(C30&gt;0,1,0)+IF(D30&gt;0,1,0)+IF(E30&gt;0,1,0)</f>
        <v/>
      </c>
      <c r="I30" s="7">
        <f>COUNTIF('03_통합데이터'!$J$3:$J$1002,$B30)</f>
        <v/>
      </c>
      <c r="J30" s="6">
        <f>IF(H30&gt;=3,"◎ 3개팀 중복",IF(H30=2,"○ 2개팀 중복",IF(H30=1,"단독 수행","미기록")))</f>
        <v/>
      </c>
      <c r="K30" s="7">
        <f>IF(H30&gt;=2,ROUND(H30*G30,1),0)</f>
        <v/>
      </c>
    </row>
    <row r="31" ht="18" customHeight="1" s="26">
      <c r="A31" s="11" t="inlineStr">
        <is>
          <t>콘텐츠제작</t>
        </is>
      </c>
      <c r="B31" s="12" t="inlineStr">
        <is>
          <t>CNT-03 영상 편집·숏폼 제작</t>
        </is>
      </c>
      <c r="C31" s="7">
        <f>SUMIFS('03_통합데이터'!$H$3:$H$1002,'03_통합데이터'!$J$3:$J$1002,$B31,'03_통합데이터'!$A$3:$A$1002,"미디어커머스")</f>
        <v/>
      </c>
      <c r="D31" s="7">
        <f>SUMIFS('03_통합데이터'!$H$3:$H$1002,'03_통합데이터'!$J$3:$J$1002,$B31,'03_통합데이터'!$A$3:$A$1002,"브랜드커머스")</f>
        <v/>
      </c>
      <c r="E31" s="7">
        <f>SUMIFS('03_통합데이터'!$H$3:$H$1002,'03_통합데이터'!$J$3:$J$1002,$B31,'03_통합데이터'!$A$3:$A$1002,"해외제조")</f>
        <v/>
      </c>
      <c r="F31" s="7">
        <f>SUM(C31:E31)</f>
        <v/>
      </c>
      <c r="G31" s="7">
        <f>ROUND(F31/60,1)</f>
        <v/>
      </c>
      <c r="H31" s="7">
        <f>IF(C31&gt;0,1,0)+IF(D31&gt;0,1,0)+IF(E31&gt;0,1,0)</f>
        <v/>
      </c>
      <c r="I31" s="7">
        <f>COUNTIF('03_통합데이터'!$J$3:$J$1002,$B31)</f>
        <v/>
      </c>
      <c r="J31" s="6">
        <f>IF(H31&gt;=3,"◎ 3개팀 중복",IF(H31=2,"○ 2개팀 중복",IF(H31=1,"단독 수행","미기록")))</f>
        <v/>
      </c>
      <c r="K31" s="7">
        <f>IF(H31&gt;=2,ROUND(H31*G31,1),0)</f>
        <v/>
      </c>
    </row>
    <row r="32" ht="18" customHeight="1" s="26">
      <c r="A32" s="11" t="inlineStr">
        <is>
          <t>콘텐츠제작</t>
        </is>
      </c>
      <c r="B32" s="12" t="inlineStr">
        <is>
          <t>CNT-04 카피·문구 작성</t>
        </is>
      </c>
      <c r="C32" s="7">
        <f>SUMIFS('03_통합데이터'!$H$3:$H$1002,'03_통합데이터'!$J$3:$J$1002,$B32,'03_통합데이터'!$A$3:$A$1002,"미디어커머스")</f>
        <v/>
      </c>
      <c r="D32" s="7">
        <f>SUMIFS('03_통합데이터'!$H$3:$H$1002,'03_통합데이터'!$J$3:$J$1002,$B32,'03_통합데이터'!$A$3:$A$1002,"브랜드커머스")</f>
        <v/>
      </c>
      <c r="E32" s="7">
        <f>SUMIFS('03_통합데이터'!$H$3:$H$1002,'03_통합데이터'!$J$3:$J$1002,$B32,'03_통합데이터'!$A$3:$A$1002,"해외제조")</f>
        <v/>
      </c>
      <c r="F32" s="7">
        <f>SUM(C32:E32)</f>
        <v/>
      </c>
      <c r="G32" s="7">
        <f>ROUND(F32/60,1)</f>
        <v/>
      </c>
      <c r="H32" s="7">
        <f>IF(C32&gt;0,1,0)+IF(D32&gt;0,1,0)+IF(E32&gt;0,1,0)</f>
        <v/>
      </c>
      <c r="I32" s="7">
        <f>COUNTIF('03_통합데이터'!$J$3:$J$1002,$B32)</f>
        <v/>
      </c>
      <c r="J32" s="6">
        <f>IF(H32&gt;=3,"◎ 3개팀 중복",IF(H32=2,"○ 2개팀 중복",IF(H32=1,"단독 수행","미기록")))</f>
        <v/>
      </c>
      <c r="K32" s="7">
        <f>IF(H32&gt;=2,ROUND(H32*G32,1),0)</f>
        <v/>
      </c>
    </row>
    <row r="33" ht="18" customHeight="1" s="26">
      <c r="A33" s="11" t="inlineStr">
        <is>
          <t>콘텐츠제작</t>
        </is>
      </c>
      <c r="B33" s="12" t="inlineStr">
        <is>
          <t>CNT-05 SNS 채널 운영·업로드</t>
        </is>
      </c>
      <c r="C33" s="7">
        <f>SUMIFS('03_통합데이터'!$H$3:$H$1002,'03_통합데이터'!$J$3:$J$1002,$B33,'03_통합데이터'!$A$3:$A$1002,"미디어커머스")</f>
        <v/>
      </c>
      <c r="D33" s="7">
        <f>SUMIFS('03_통합데이터'!$H$3:$H$1002,'03_통합데이터'!$J$3:$J$1002,$B33,'03_통합데이터'!$A$3:$A$1002,"브랜드커머스")</f>
        <v/>
      </c>
      <c r="E33" s="7">
        <f>SUMIFS('03_통합데이터'!$H$3:$H$1002,'03_통합데이터'!$J$3:$J$1002,$B33,'03_통합데이터'!$A$3:$A$1002,"해외제조")</f>
        <v/>
      </c>
      <c r="F33" s="7">
        <f>SUM(C33:E33)</f>
        <v/>
      </c>
      <c r="G33" s="7">
        <f>ROUND(F33/60,1)</f>
        <v/>
      </c>
      <c r="H33" s="7">
        <f>IF(C33&gt;0,1,0)+IF(D33&gt;0,1,0)+IF(E33&gt;0,1,0)</f>
        <v/>
      </c>
      <c r="I33" s="7">
        <f>COUNTIF('03_통합데이터'!$J$3:$J$1002,$B33)</f>
        <v/>
      </c>
      <c r="J33" s="6">
        <f>IF(H33&gt;=3,"◎ 3개팀 중복",IF(H33=2,"○ 2개팀 중복",IF(H33=1,"단독 수행","미기록")))</f>
        <v/>
      </c>
      <c r="K33" s="7">
        <f>IF(H33&gt;=2,ROUND(H33*G33,1),0)</f>
        <v/>
      </c>
    </row>
    <row r="34" ht="18" customHeight="1" s="26">
      <c r="A34" s="11" t="inlineStr">
        <is>
          <t>콘텐츠제작</t>
        </is>
      </c>
      <c r="B34" s="12" t="inlineStr">
        <is>
          <t>CNT-06 디자인 시안 피드백</t>
        </is>
      </c>
      <c r="C34" s="7">
        <f>SUMIFS('03_통합데이터'!$H$3:$H$1002,'03_통합데이터'!$J$3:$J$1002,$B34,'03_통합데이터'!$A$3:$A$1002,"미디어커머스")</f>
        <v/>
      </c>
      <c r="D34" s="7">
        <f>SUMIFS('03_통합데이터'!$H$3:$H$1002,'03_통합데이터'!$J$3:$J$1002,$B34,'03_통합데이터'!$A$3:$A$1002,"브랜드커머스")</f>
        <v/>
      </c>
      <c r="E34" s="7">
        <f>SUMIFS('03_통합데이터'!$H$3:$H$1002,'03_통합데이터'!$J$3:$J$1002,$B34,'03_통합데이터'!$A$3:$A$1002,"해외제조")</f>
        <v/>
      </c>
      <c r="F34" s="7">
        <f>SUM(C34:E34)</f>
        <v/>
      </c>
      <c r="G34" s="7">
        <f>ROUND(F34/60,1)</f>
        <v/>
      </c>
      <c r="H34" s="7">
        <f>IF(C34&gt;0,1,0)+IF(D34&gt;0,1,0)+IF(E34&gt;0,1,0)</f>
        <v/>
      </c>
      <c r="I34" s="7">
        <f>COUNTIF('03_통합데이터'!$J$3:$J$1002,$B34)</f>
        <v/>
      </c>
      <c r="J34" s="6">
        <f>IF(H34&gt;=3,"◎ 3개팀 중복",IF(H34=2,"○ 2개팀 중복",IF(H34=1,"단독 수행","미기록")))</f>
        <v/>
      </c>
      <c r="K34" s="7">
        <f>IF(H34&gt;=2,ROUND(H34*G34,1),0)</f>
        <v/>
      </c>
    </row>
    <row r="35" ht="18" customHeight="1" s="26">
      <c r="A35" s="11" t="inlineStr">
        <is>
          <t>콘텐츠제작</t>
        </is>
      </c>
      <c r="B35" s="12" t="inlineStr">
        <is>
          <t>CNT-07 카탈로그·영업자료 제작</t>
        </is>
      </c>
      <c r="C35" s="7">
        <f>SUMIFS('03_통합데이터'!$H$3:$H$1002,'03_통합데이터'!$J$3:$J$1002,$B35,'03_통합데이터'!$A$3:$A$1002,"미디어커머스")</f>
        <v/>
      </c>
      <c r="D35" s="7">
        <f>SUMIFS('03_통합데이터'!$H$3:$H$1002,'03_통합데이터'!$J$3:$J$1002,$B35,'03_통합데이터'!$A$3:$A$1002,"브랜드커머스")</f>
        <v/>
      </c>
      <c r="E35" s="7">
        <f>SUMIFS('03_통합데이터'!$H$3:$H$1002,'03_통합데이터'!$J$3:$J$1002,$B35,'03_통합데이터'!$A$3:$A$1002,"해외제조")</f>
        <v/>
      </c>
      <c r="F35" s="7">
        <f>SUM(C35:E35)</f>
        <v/>
      </c>
      <c r="G35" s="7">
        <f>ROUND(F35/60,1)</f>
        <v/>
      </c>
      <c r="H35" s="7">
        <f>IF(C35&gt;0,1,0)+IF(D35&gt;0,1,0)+IF(E35&gt;0,1,0)</f>
        <v/>
      </c>
      <c r="I35" s="7">
        <f>COUNTIF('03_통합데이터'!$J$3:$J$1002,$B35)</f>
        <v/>
      </c>
      <c r="J35" s="6">
        <f>IF(H35&gt;=3,"◎ 3개팀 중복",IF(H35=2,"○ 2개팀 중복",IF(H35=1,"단독 수행","미기록")))</f>
        <v/>
      </c>
      <c r="K35" s="7">
        <f>IF(H35&gt;=2,ROUND(H35*G35,1),0)</f>
        <v/>
      </c>
    </row>
    <row r="36" ht="18" customHeight="1" s="26">
      <c r="A36" s="11" t="inlineStr">
        <is>
          <t>채널·스토어운영</t>
        </is>
      </c>
      <c r="B36" s="12" t="inlineStr">
        <is>
          <t>CHN-01 상품 등록·수정(옵션/가격)</t>
        </is>
      </c>
      <c r="C36" s="7">
        <f>SUMIFS('03_통합데이터'!$H$3:$H$1002,'03_통합데이터'!$J$3:$J$1002,$B36,'03_통합데이터'!$A$3:$A$1002,"미디어커머스")</f>
        <v/>
      </c>
      <c r="D36" s="7">
        <f>SUMIFS('03_통합데이터'!$H$3:$H$1002,'03_통합데이터'!$J$3:$J$1002,$B36,'03_통합데이터'!$A$3:$A$1002,"브랜드커머스")</f>
        <v/>
      </c>
      <c r="E36" s="7">
        <f>SUMIFS('03_통합데이터'!$H$3:$H$1002,'03_통합데이터'!$J$3:$J$1002,$B36,'03_통합데이터'!$A$3:$A$1002,"해외제조")</f>
        <v/>
      </c>
      <c r="F36" s="7">
        <f>SUM(C36:E36)</f>
        <v/>
      </c>
      <c r="G36" s="7">
        <f>ROUND(F36/60,1)</f>
        <v/>
      </c>
      <c r="H36" s="7">
        <f>IF(C36&gt;0,1,0)+IF(D36&gt;0,1,0)+IF(E36&gt;0,1,0)</f>
        <v/>
      </c>
      <c r="I36" s="7">
        <f>COUNTIF('03_통합데이터'!$J$3:$J$1002,$B36)</f>
        <v/>
      </c>
      <c r="J36" s="6">
        <f>IF(H36&gt;=3,"◎ 3개팀 중복",IF(H36=2,"○ 2개팀 중복",IF(H36=1,"단독 수행","미기록")))</f>
        <v/>
      </c>
      <c r="K36" s="7">
        <f>IF(H36&gt;=2,ROUND(H36*G36,1),0)</f>
        <v/>
      </c>
    </row>
    <row r="37" ht="18" customHeight="1" s="26">
      <c r="A37" s="11" t="inlineStr">
        <is>
          <t>채널·스토어운영</t>
        </is>
      </c>
      <c r="B37" s="12" t="inlineStr">
        <is>
          <t>CHN-02 오픈마켓·종합몰 MD 커뮤니케이션</t>
        </is>
      </c>
      <c r="C37" s="7">
        <f>SUMIFS('03_통합데이터'!$H$3:$H$1002,'03_통합데이터'!$J$3:$J$1002,$B37,'03_통합데이터'!$A$3:$A$1002,"미디어커머스")</f>
        <v/>
      </c>
      <c r="D37" s="7">
        <f>SUMIFS('03_통합데이터'!$H$3:$H$1002,'03_통합데이터'!$J$3:$J$1002,$B37,'03_통합데이터'!$A$3:$A$1002,"브랜드커머스")</f>
        <v/>
      </c>
      <c r="E37" s="7">
        <f>SUMIFS('03_통합데이터'!$H$3:$H$1002,'03_통합데이터'!$J$3:$J$1002,$B37,'03_통합데이터'!$A$3:$A$1002,"해외제조")</f>
        <v/>
      </c>
      <c r="F37" s="7">
        <f>SUM(C37:E37)</f>
        <v/>
      </c>
      <c r="G37" s="7">
        <f>ROUND(F37/60,1)</f>
        <v/>
      </c>
      <c r="H37" s="7">
        <f>IF(C37&gt;0,1,0)+IF(D37&gt;0,1,0)+IF(E37&gt;0,1,0)</f>
        <v/>
      </c>
      <c r="I37" s="7">
        <f>COUNTIF('03_통합데이터'!$J$3:$J$1002,$B37)</f>
        <v/>
      </c>
      <c r="J37" s="6">
        <f>IF(H37&gt;=3,"◎ 3개팀 중복",IF(H37=2,"○ 2개팀 중복",IF(H37=1,"단독 수행","미기록")))</f>
        <v/>
      </c>
      <c r="K37" s="7">
        <f>IF(H37&gt;=2,ROUND(H37*G37,1),0)</f>
        <v/>
      </c>
    </row>
    <row r="38" ht="18" customHeight="1" s="26">
      <c r="A38" s="11" t="inlineStr">
        <is>
          <t>채널·스토어운영</t>
        </is>
      </c>
      <c r="B38" s="12" t="inlineStr">
        <is>
          <t>CHN-03 자사몰 운영·관리</t>
        </is>
      </c>
      <c r="C38" s="7">
        <f>SUMIFS('03_통합데이터'!$H$3:$H$1002,'03_통합데이터'!$J$3:$J$1002,$B38,'03_통합데이터'!$A$3:$A$1002,"미디어커머스")</f>
        <v/>
      </c>
      <c r="D38" s="7">
        <f>SUMIFS('03_통합데이터'!$H$3:$H$1002,'03_통합데이터'!$J$3:$J$1002,$B38,'03_통합데이터'!$A$3:$A$1002,"브랜드커머스")</f>
        <v/>
      </c>
      <c r="E38" s="7">
        <f>SUMIFS('03_통합데이터'!$H$3:$H$1002,'03_통합데이터'!$J$3:$J$1002,$B38,'03_통합데이터'!$A$3:$A$1002,"해외제조")</f>
        <v/>
      </c>
      <c r="F38" s="7">
        <f>SUM(C38:E38)</f>
        <v/>
      </c>
      <c r="G38" s="7">
        <f>ROUND(F38/60,1)</f>
        <v/>
      </c>
      <c r="H38" s="7">
        <f>IF(C38&gt;0,1,0)+IF(D38&gt;0,1,0)+IF(E38&gt;0,1,0)</f>
        <v/>
      </c>
      <c r="I38" s="7">
        <f>COUNTIF('03_통합데이터'!$J$3:$J$1002,$B38)</f>
        <v/>
      </c>
      <c r="J38" s="6">
        <f>IF(H38&gt;=3,"◎ 3개팀 중복",IF(H38=2,"○ 2개팀 중복",IF(H38=1,"단독 수행","미기록")))</f>
        <v/>
      </c>
      <c r="K38" s="7">
        <f>IF(H38&gt;=2,ROUND(H38*G38,1),0)</f>
        <v/>
      </c>
    </row>
    <row r="39" ht="18" customHeight="1" s="26">
      <c r="A39" s="11" t="inlineStr">
        <is>
          <t>채널·스토어운영</t>
        </is>
      </c>
      <c r="B39" s="12" t="inlineStr">
        <is>
          <t>CHN-04 라이브커머스 준비·진행</t>
        </is>
      </c>
      <c r="C39" s="7">
        <f>SUMIFS('03_통합데이터'!$H$3:$H$1002,'03_통합데이터'!$J$3:$J$1002,$B39,'03_통합데이터'!$A$3:$A$1002,"미디어커머스")</f>
        <v/>
      </c>
      <c r="D39" s="7">
        <f>SUMIFS('03_통합데이터'!$H$3:$H$1002,'03_통합데이터'!$J$3:$J$1002,$B39,'03_통합데이터'!$A$3:$A$1002,"브랜드커머스")</f>
        <v/>
      </c>
      <c r="E39" s="7">
        <f>SUMIFS('03_통합데이터'!$H$3:$H$1002,'03_통합데이터'!$J$3:$J$1002,$B39,'03_통합데이터'!$A$3:$A$1002,"해외제조")</f>
        <v/>
      </c>
      <c r="F39" s="7">
        <f>SUM(C39:E39)</f>
        <v/>
      </c>
      <c r="G39" s="7">
        <f>ROUND(F39/60,1)</f>
        <v/>
      </c>
      <c r="H39" s="7">
        <f>IF(C39&gt;0,1,0)+IF(D39&gt;0,1,0)+IF(E39&gt;0,1,0)</f>
        <v/>
      </c>
      <c r="I39" s="7">
        <f>COUNTIF('03_통합데이터'!$J$3:$J$1002,$B39)</f>
        <v/>
      </c>
      <c r="J39" s="6">
        <f>IF(H39&gt;=3,"◎ 3개팀 중복",IF(H39=2,"○ 2개팀 중복",IF(H39=1,"단독 수행","미기록")))</f>
        <v/>
      </c>
      <c r="K39" s="7">
        <f>IF(H39&gt;=2,ROUND(H39*G39,1),0)</f>
        <v/>
      </c>
    </row>
    <row r="40" ht="18" customHeight="1" s="26">
      <c r="A40" s="11" t="inlineStr">
        <is>
          <t>채널·스토어운영</t>
        </is>
      </c>
      <c r="B40" s="12" t="inlineStr">
        <is>
          <t>CHN-05 리뷰·평점 관리</t>
        </is>
      </c>
      <c r="C40" s="7">
        <f>SUMIFS('03_통합데이터'!$H$3:$H$1002,'03_통합데이터'!$J$3:$J$1002,$B40,'03_통합데이터'!$A$3:$A$1002,"미디어커머스")</f>
        <v/>
      </c>
      <c r="D40" s="7">
        <f>SUMIFS('03_통합데이터'!$H$3:$H$1002,'03_통합데이터'!$J$3:$J$1002,$B40,'03_통합데이터'!$A$3:$A$1002,"브랜드커머스")</f>
        <v/>
      </c>
      <c r="E40" s="7">
        <f>SUMIFS('03_통합데이터'!$H$3:$H$1002,'03_통합데이터'!$J$3:$J$1002,$B40,'03_통합데이터'!$A$3:$A$1002,"해외제조")</f>
        <v/>
      </c>
      <c r="F40" s="7">
        <f>SUM(C40:E40)</f>
        <v/>
      </c>
      <c r="G40" s="7">
        <f>ROUND(F40/60,1)</f>
        <v/>
      </c>
      <c r="H40" s="7">
        <f>IF(C40&gt;0,1,0)+IF(D40&gt;0,1,0)+IF(E40&gt;0,1,0)</f>
        <v/>
      </c>
      <c r="I40" s="7">
        <f>COUNTIF('03_통합데이터'!$J$3:$J$1002,$B40)</f>
        <v/>
      </c>
      <c r="J40" s="6">
        <f>IF(H40&gt;=3,"◎ 3개팀 중복",IF(H40=2,"○ 2개팀 중복",IF(H40=1,"단독 수행","미기록")))</f>
        <v/>
      </c>
      <c r="K40" s="7">
        <f>IF(H40&gt;=2,ROUND(H40*G40,1),0)</f>
        <v/>
      </c>
    </row>
    <row r="41" ht="18" customHeight="1" s="26">
      <c r="A41" s="11" t="inlineStr">
        <is>
          <t>채널·스토어운영</t>
        </is>
      </c>
      <c r="B41" s="12" t="inlineStr">
        <is>
          <t>CHN-06 채널별 프로모션 신청·정산조건 확인</t>
        </is>
      </c>
      <c r="C41" s="7">
        <f>SUMIFS('03_통합데이터'!$H$3:$H$1002,'03_통합데이터'!$J$3:$J$1002,$B41,'03_통합데이터'!$A$3:$A$1002,"미디어커머스")</f>
        <v/>
      </c>
      <c r="D41" s="7">
        <f>SUMIFS('03_통합데이터'!$H$3:$H$1002,'03_통합데이터'!$J$3:$J$1002,$B41,'03_통합데이터'!$A$3:$A$1002,"브랜드커머스")</f>
        <v/>
      </c>
      <c r="E41" s="7">
        <f>SUMIFS('03_통합데이터'!$H$3:$H$1002,'03_통합데이터'!$J$3:$J$1002,$B41,'03_통합데이터'!$A$3:$A$1002,"해외제조")</f>
        <v/>
      </c>
      <c r="F41" s="7">
        <f>SUM(C41:E41)</f>
        <v/>
      </c>
      <c r="G41" s="7">
        <f>ROUND(F41/60,1)</f>
        <v/>
      </c>
      <c r="H41" s="7">
        <f>IF(C41&gt;0,1,0)+IF(D41&gt;0,1,0)+IF(E41&gt;0,1,0)</f>
        <v/>
      </c>
      <c r="I41" s="7">
        <f>COUNTIF('03_통합데이터'!$J$3:$J$1002,$B41)</f>
        <v/>
      </c>
      <c r="J41" s="6">
        <f>IF(H41&gt;=3,"◎ 3개팀 중복",IF(H41=2,"○ 2개팀 중복",IF(H41=1,"단독 수행","미기록")))</f>
        <v/>
      </c>
      <c r="K41" s="7">
        <f>IF(H41&gt;=2,ROUND(H41*G41,1),0)</f>
        <v/>
      </c>
    </row>
    <row r="42" ht="18" customHeight="1" s="26">
      <c r="A42" s="11" t="inlineStr">
        <is>
          <t>CS·물류·재고</t>
        </is>
      </c>
      <c r="B42" s="12" t="inlineStr">
        <is>
          <t>OPS-01 고객문의(CS) 응대</t>
        </is>
      </c>
      <c r="C42" s="7">
        <f>SUMIFS('03_통합데이터'!$H$3:$H$1002,'03_통합데이터'!$J$3:$J$1002,$B42,'03_통합데이터'!$A$3:$A$1002,"미디어커머스")</f>
        <v/>
      </c>
      <c r="D42" s="7">
        <f>SUMIFS('03_통합데이터'!$H$3:$H$1002,'03_통합데이터'!$J$3:$J$1002,$B42,'03_통합데이터'!$A$3:$A$1002,"브랜드커머스")</f>
        <v/>
      </c>
      <c r="E42" s="7">
        <f>SUMIFS('03_통합데이터'!$H$3:$H$1002,'03_통합데이터'!$J$3:$J$1002,$B42,'03_통합데이터'!$A$3:$A$1002,"해외제조")</f>
        <v/>
      </c>
      <c r="F42" s="7">
        <f>SUM(C42:E42)</f>
        <v/>
      </c>
      <c r="G42" s="7">
        <f>ROUND(F42/60,1)</f>
        <v/>
      </c>
      <c r="H42" s="7">
        <f>IF(C42&gt;0,1,0)+IF(D42&gt;0,1,0)+IF(E42&gt;0,1,0)</f>
        <v/>
      </c>
      <c r="I42" s="7">
        <f>COUNTIF('03_통합데이터'!$J$3:$J$1002,$B42)</f>
        <v/>
      </c>
      <c r="J42" s="6">
        <f>IF(H42&gt;=3,"◎ 3개팀 중복",IF(H42=2,"○ 2개팀 중복",IF(H42=1,"단독 수행","미기록")))</f>
        <v/>
      </c>
      <c r="K42" s="7">
        <f>IF(H42&gt;=2,ROUND(H42*G42,1),0)</f>
        <v/>
      </c>
    </row>
    <row r="43" ht="18" customHeight="1" s="26">
      <c r="A43" s="11" t="inlineStr">
        <is>
          <t>CS·물류·재고</t>
        </is>
      </c>
      <c r="B43" s="12" t="inlineStr">
        <is>
          <t>OPS-02 반품·교환·클레임 처리</t>
        </is>
      </c>
      <c r="C43" s="7">
        <f>SUMIFS('03_통합데이터'!$H$3:$H$1002,'03_통합데이터'!$J$3:$J$1002,$B43,'03_통합데이터'!$A$3:$A$1002,"미디어커머스")</f>
        <v/>
      </c>
      <c r="D43" s="7">
        <f>SUMIFS('03_통합데이터'!$H$3:$H$1002,'03_통합데이터'!$J$3:$J$1002,$B43,'03_통합데이터'!$A$3:$A$1002,"브랜드커머스")</f>
        <v/>
      </c>
      <c r="E43" s="7">
        <f>SUMIFS('03_통합데이터'!$H$3:$H$1002,'03_통합데이터'!$J$3:$J$1002,$B43,'03_통합데이터'!$A$3:$A$1002,"해외제조")</f>
        <v/>
      </c>
      <c r="F43" s="7">
        <f>SUM(C43:E43)</f>
        <v/>
      </c>
      <c r="G43" s="7">
        <f>ROUND(F43/60,1)</f>
        <v/>
      </c>
      <c r="H43" s="7">
        <f>IF(C43&gt;0,1,0)+IF(D43&gt;0,1,0)+IF(E43&gt;0,1,0)</f>
        <v/>
      </c>
      <c r="I43" s="7">
        <f>COUNTIF('03_통합데이터'!$J$3:$J$1002,$B43)</f>
        <v/>
      </c>
      <c r="J43" s="6">
        <f>IF(H43&gt;=3,"◎ 3개팀 중복",IF(H43=2,"○ 2개팀 중복",IF(H43=1,"단독 수행","미기록")))</f>
        <v/>
      </c>
      <c r="K43" s="7">
        <f>IF(H43&gt;=2,ROUND(H43*G43,1),0)</f>
        <v/>
      </c>
    </row>
    <row r="44" ht="18" customHeight="1" s="26">
      <c r="A44" s="11" t="inlineStr">
        <is>
          <t>CS·물류·재고</t>
        </is>
      </c>
      <c r="B44" s="12" t="inlineStr">
        <is>
          <t>OPS-03 재고 현황 점검·발주 요청</t>
        </is>
      </c>
      <c r="C44" s="7">
        <f>SUMIFS('03_통합데이터'!$H$3:$H$1002,'03_통합데이터'!$J$3:$J$1002,$B44,'03_통합데이터'!$A$3:$A$1002,"미디어커머스")</f>
        <v/>
      </c>
      <c r="D44" s="7">
        <f>SUMIFS('03_통합데이터'!$H$3:$H$1002,'03_통합데이터'!$J$3:$J$1002,$B44,'03_통합데이터'!$A$3:$A$1002,"브랜드커머스")</f>
        <v/>
      </c>
      <c r="E44" s="7">
        <f>SUMIFS('03_통합데이터'!$H$3:$H$1002,'03_통합데이터'!$J$3:$J$1002,$B44,'03_통합데이터'!$A$3:$A$1002,"해외제조")</f>
        <v/>
      </c>
      <c r="F44" s="7">
        <f>SUM(C44:E44)</f>
        <v/>
      </c>
      <c r="G44" s="7">
        <f>ROUND(F44/60,1)</f>
        <v/>
      </c>
      <c r="H44" s="7">
        <f>IF(C44&gt;0,1,0)+IF(D44&gt;0,1,0)+IF(E44&gt;0,1,0)</f>
        <v/>
      </c>
      <c r="I44" s="7">
        <f>COUNTIF('03_통합데이터'!$J$3:$J$1002,$B44)</f>
        <v/>
      </c>
      <c r="J44" s="6">
        <f>IF(H44&gt;=3,"◎ 3개팀 중복",IF(H44=2,"○ 2개팀 중복",IF(H44=1,"단독 수행","미기록")))</f>
        <v/>
      </c>
      <c r="K44" s="7">
        <f>IF(H44&gt;=2,ROUND(H44*G44,1),0)</f>
        <v/>
      </c>
    </row>
    <row r="45" ht="18" customHeight="1" s="26">
      <c r="A45" s="11" t="inlineStr">
        <is>
          <t>CS·물류·재고</t>
        </is>
      </c>
      <c r="B45" s="12" t="inlineStr">
        <is>
          <t>OPS-04 3PL·물류사 커뮤니케이션</t>
        </is>
      </c>
      <c r="C45" s="7">
        <f>SUMIFS('03_통합데이터'!$H$3:$H$1002,'03_통합데이터'!$J$3:$J$1002,$B45,'03_통합데이터'!$A$3:$A$1002,"미디어커머스")</f>
        <v/>
      </c>
      <c r="D45" s="7">
        <f>SUMIFS('03_통합데이터'!$H$3:$H$1002,'03_통합데이터'!$J$3:$J$1002,$B45,'03_통합데이터'!$A$3:$A$1002,"브랜드커머스")</f>
        <v/>
      </c>
      <c r="E45" s="7">
        <f>SUMIFS('03_통합데이터'!$H$3:$H$1002,'03_통합데이터'!$J$3:$J$1002,$B45,'03_통합데이터'!$A$3:$A$1002,"해외제조")</f>
        <v/>
      </c>
      <c r="F45" s="7">
        <f>SUM(C45:E45)</f>
        <v/>
      </c>
      <c r="G45" s="7">
        <f>ROUND(F45/60,1)</f>
        <v/>
      </c>
      <c r="H45" s="7">
        <f>IF(C45&gt;0,1,0)+IF(D45&gt;0,1,0)+IF(E45&gt;0,1,0)</f>
        <v/>
      </c>
      <c r="I45" s="7">
        <f>COUNTIF('03_통합데이터'!$J$3:$J$1002,$B45)</f>
        <v/>
      </c>
      <c r="J45" s="6">
        <f>IF(H45&gt;=3,"◎ 3개팀 중복",IF(H45=2,"○ 2개팀 중복",IF(H45=1,"단독 수행","미기록")))</f>
        <v/>
      </c>
      <c r="K45" s="7">
        <f>IF(H45&gt;=2,ROUND(H45*G45,1),0)</f>
        <v/>
      </c>
    </row>
    <row r="46" ht="18" customHeight="1" s="26">
      <c r="A46" s="11" t="inlineStr">
        <is>
          <t>CS·물류·재고</t>
        </is>
      </c>
      <c r="B46" s="12" t="inlineStr">
        <is>
          <t>OPS-05 출고 이슈 대응</t>
        </is>
      </c>
      <c r="C46" s="7">
        <f>SUMIFS('03_통합데이터'!$H$3:$H$1002,'03_통합데이터'!$J$3:$J$1002,$B46,'03_통합데이터'!$A$3:$A$1002,"미디어커머스")</f>
        <v/>
      </c>
      <c r="D46" s="7">
        <f>SUMIFS('03_통합데이터'!$H$3:$H$1002,'03_통합데이터'!$J$3:$J$1002,$B46,'03_통합데이터'!$A$3:$A$1002,"브랜드커머스")</f>
        <v/>
      </c>
      <c r="E46" s="7">
        <f>SUMIFS('03_통합데이터'!$H$3:$H$1002,'03_통합데이터'!$J$3:$J$1002,$B46,'03_통합데이터'!$A$3:$A$1002,"해외제조")</f>
        <v/>
      </c>
      <c r="F46" s="7">
        <f>SUM(C46:E46)</f>
        <v/>
      </c>
      <c r="G46" s="7">
        <f>ROUND(F46/60,1)</f>
        <v/>
      </c>
      <c r="H46" s="7">
        <f>IF(C46&gt;0,1,0)+IF(D46&gt;0,1,0)+IF(E46&gt;0,1,0)</f>
        <v/>
      </c>
      <c r="I46" s="7">
        <f>COUNTIF('03_통합데이터'!$J$3:$J$1002,$B46)</f>
        <v/>
      </c>
      <c r="J46" s="6">
        <f>IF(H46&gt;=3,"◎ 3개팀 중복",IF(H46=2,"○ 2개팀 중복",IF(H46=1,"단독 수행","미기록")))</f>
        <v/>
      </c>
      <c r="K46" s="7">
        <f>IF(H46&gt;=2,ROUND(H46*G46,1),0)</f>
        <v/>
      </c>
    </row>
    <row r="47" ht="18" customHeight="1" s="26">
      <c r="A47" s="11" t="inlineStr">
        <is>
          <t>CS·물류·재고</t>
        </is>
      </c>
      <c r="B47" s="12" t="inlineStr">
        <is>
          <t>OPS-06 일일 주문,매출 확인</t>
        </is>
      </c>
      <c r="C47" s="7">
        <f>SUMIFS('03_통합데이터'!$H$3:$H$1002,'03_통합데이터'!$J$3:$J$1002,$B47,'03_통합데이터'!$A$3:$A$1002,"미디어커머스")</f>
        <v/>
      </c>
      <c r="D47" s="7">
        <f>SUMIFS('03_통합데이터'!$H$3:$H$1002,'03_통합데이터'!$J$3:$J$1002,$B47,'03_통합데이터'!$A$3:$A$1002,"브랜드커머스")</f>
        <v/>
      </c>
      <c r="E47" s="7">
        <f>SUMIFS('03_통합데이터'!$H$3:$H$1002,'03_통합데이터'!$J$3:$J$1002,$B47,'03_통합데이터'!$A$3:$A$1002,"해외제조")</f>
        <v/>
      </c>
      <c r="F47" s="7">
        <f>SUM(C47:E47)</f>
        <v/>
      </c>
      <c r="G47" s="7">
        <f>ROUND(F47/60,1)</f>
        <v/>
      </c>
      <c r="H47" s="7">
        <f>IF(C47&gt;0,1,0)+IF(D47&gt;0,1,0)+IF(E47&gt;0,1,0)</f>
        <v/>
      </c>
      <c r="I47" s="7">
        <f>COUNTIF('03_통합데이터'!$J$3:$J$1002,$B47)</f>
        <v/>
      </c>
      <c r="J47" s="6">
        <f>IF(H47&gt;=3,"◎ 3개팀 중복",IF(H47=2,"○ 2개팀 중복",IF(H47=1,"단독 수행","미기록")))</f>
        <v/>
      </c>
      <c r="K47" s="7">
        <f>IF(H47&gt;=2,ROUND(H47*G47,1),0)</f>
        <v/>
      </c>
    </row>
    <row r="48" ht="18" customHeight="1" s="26">
      <c r="A48" s="11" t="inlineStr">
        <is>
          <t>데이터·정산</t>
        </is>
      </c>
      <c r="B48" s="12" t="inlineStr">
        <is>
          <t>DAT-01 일/주 매출 데이터 집계</t>
        </is>
      </c>
      <c r="C48" s="7">
        <f>SUMIFS('03_통합데이터'!$H$3:$H$1002,'03_통합데이터'!$J$3:$J$1002,$B48,'03_통합데이터'!$A$3:$A$1002,"미디어커머스")</f>
        <v/>
      </c>
      <c r="D48" s="7">
        <f>SUMIFS('03_통합데이터'!$H$3:$H$1002,'03_통합데이터'!$J$3:$J$1002,$B48,'03_통합데이터'!$A$3:$A$1002,"브랜드커머스")</f>
        <v/>
      </c>
      <c r="E48" s="7">
        <f>SUMIFS('03_통합데이터'!$H$3:$H$1002,'03_통합데이터'!$J$3:$J$1002,$B48,'03_통합데이터'!$A$3:$A$1002,"해외제조")</f>
        <v/>
      </c>
      <c r="F48" s="7">
        <f>SUM(C48:E48)</f>
        <v/>
      </c>
      <c r="G48" s="7">
        <f>ROUND(F48/60,1)</f>
        <v/>
      </c>
      <c r="H48" s="7">
        <f>IF(C48&gt;0,1,0)+IF(D48&gt;0,1,0)+IF(E48&gt;0,1,0)</f>
        <v/>
      </c>
      <c r="I48" s="7">
        <f>COUNTIF('03_통합데이터'!$J$3:$J$1002,$B48)</f>
        <v/>
      </c>
      <c r="J48" s="6">
        <f>IF(H48&gt;=3,"◎ 3개팀 중복",IF(H48=2,"○ 2개팀 중복",IF(H48=1,"단독 수행","미기록")))</f>
        <v/>
      </c>
      <c r="K48" s="7">
        <f>IF(H48&gt;=2,ROUND(H48*G48,1),0)</f>
        <v/>
      </c>
    </row>
    <row r="49" ht="18" customHeight="1" s="26">
      <c r="A49" s="11" t="inlineStr">
        <is>
          <t>데이터·정산</t>
        </is>
      </c>
      <c r="B49" s="12" t="inlineStr">
        <is>
          <t>DAT-02 광고 ROAS·수익성 분석</t>
        </is>
      </c>
      <c r="C49" s="7">
        <f>SUMIFS('03_통합데이터'!$H$3:$H$1002,'03_통합데이터'!$J$3:$J$1002,$B49,'03_통합데이터'!$A$3:$A$1002,"미디어커머스")</f>
        <v/>
      </c>
      <c r="D49" s="7">
        <f>SUMIFS('03_통합데이터'!$H$3:$H$1002,'03_통합데이터'!$J$3:$J$1002,$B49,'03_통합데이터'!$A$3:$A$1002,"브랜드커머스")</f>
        <v/>
      </c>
      <c r="E49" s="7">
        <f>SUMIFS('03_통합데이터'!$H$3:$H$1002,'03_통합데이터'!$J$3:$J$1002,$B49,'03_통합데이터'!$A$3:$A$1002,"해외제조")</f>
        <v/>
      </c>
      <c r="F49" s="7">
        <f>SUM(C49:E49)</f>
        <v/>
      </c>
      <c r="G49" s="7">
        <f>ROUND(F49/60,1)</f>
        <v/>
      </c>
      <c r="H49" s="7">
        <f>IF(C49&gt;0,1,0)+IF(D49&gt;0,1,0)+IF(E49&gt;0,1,0)</f>
        <v/>
      </c>
      <c r="I49" s="7">
        <f>COUNTIF('03_통합데이터'!$J$3:$J$1002,$B49)</f>
        <v/>
      </c>
      <c r="J49" s="6">
        <f>IF(H49&gt;=3,"◎ 3개팀 중복",IF(H49=2,"○ 2개팀 중복",IF(H49=1,"단독 수행","미기록")))</f>
        <v/>
      </c>
      <c r="K49" s="7">
        <f>IF(H49&gt;=2,ROUND(H49*G49,1),0)</f>
        <v/>
      </c>
    </row>
    <row r="50" ht="18" customHeight="1" s="26">
      <c r="A50" s="11" t="inlineStr">
        <is>
          <t>데이터·정산</t>
        </is>
      </c>
      <c r="B50" s="12" t="inlineStr">
        <is>
          <t>DAT-03 채널별 정산·수수료 확인</t>
        </is>
      </c>
      <c r="C50" s="7">
        <f>SUMIFS('03_통합데이터'!$H$3:$H$1002,'03_통합데이터'!$J$3:$J$1002,$B50,'03_통합데이터'!$A$3:$A$1002,"미디어커머스")</f>
        <v/>
      </c>
      <c r="D50" s="7">
        <f>SUMIFS('03_통합데이터'!$H$3:$H$1002,'03_통합데이터'!$J$3:$J$1002,$B50,'03_통합데이터'!$A$3:$A$1002,"브랜드커머스")</f>
        <v/>
      </c>
      <c r="E50" s="7">
        <f>SUMIFS('03_통합데이터'!$H$3:$H$1002,'03_통합데이터'!$J$3:$J$1002,$B50,'03_통합데이터'!$A$3:$A$1002,"해외제조")</f>
        <v/>
      </c>
      <c r="F50" s="7">
        <f>SUM(C50:E50)</f>
        <v/>
      </c>
      <c r="G50" s="7">
        <f>ROUND(F50/60,1)</f>
        <v/>
      </c>
      <c r="H50" s="7">
        <f>IF(C50&gt;0,1,0)+IF(D50&gt;0,1,0)+IF(E50&gt;0,1,0)</f>
        <v/>
      </c>
      <c r="I50" s="7">
        <f>COUNTIF('03_통합데이터'!$J$3:$J$1002,$B50)</f>
        <v/>
      </c>
      <c r="J50" s="6">
        <f>IF(H50&gt;=3,"◎ 3개팀 중복",IF(H50=2,"○ 2개팀 중복",IF(H50=1,"단독 수행","미기록")))</f>
        <v/>
      </c>
      <c r="K50" s="7">
        <f>IF(H50&gt;=2,ROUND(H50*G50,1),0)</f>
        <v/>
      </c>
    </row>
    <row r="51" ht="18" customHeight="1" s="26">
      <c r="A51" s="11" t="inlineStr">
        <is>
          <t>데이터·정산</t>
        </is>
      </c>
      <c r="B51" s="12" t="inlineStr">
        <is>
          <t>DAT-04 리포트·대시보드 작성</t>
        </is>
      </c>
      <c r="C51" s="7">
        <f>SUMIFS('03_통합데이터'!$H$3:$H$1002,'03_통합데이터'!$J$3:$J$1002,$B51,'03_통합데이터'!$A$3:$A$1002,"미디어커머스")</f>
        <v/>
      </c>
      <c r="D51" s="7">
        <f>SUMIFS('03_통합데이터'!$H$3:$H$1002,'03_통합데이터'!$J$3:$J$1002,$B51,'03_통합데이터'!$A$3:$A$1002,"브랜드커머스")</f>
        <v/>
      </c>
      <c r="E51" s="7">
        <f>SUMIFS('03_통합데이터'!$H$3:$H$1002,'03_통합데이터'!$J$3:$J$1002,$B51,'03_통합데이터'!$A$3:$A$1002,"해외제조")</f>
        <v/>
      </c>
      <c r="F51" s="7">
        <f>SUM(C51:E51)</f>
        <v/>
      </c>
      <c r="G51" s="7">
        <f>ROUND(F51/60,1)</f>
        <v/>
      </c>
      <c r="H51" s="7">
        <f>IF(C51&gt;0,1,0)+IF(D51&gt;0,1,0)+IF(E51&gt;0,1,0)</f>
        <v/>
      </c>
      <c r="I51" s="7">
        <f>COUNTIF('03_통합데이터'!$J$3:$J$1002,$B51)</f>
        <v/>
      </c>
      <c r="J51" s="6">
        <f>IF(H51&gt;=3,"◎ 3개팀 중복",IF(H51=2,"○ 2개팀 중복",IF(H51=1,"단독 수행","미기록")))</f>
        <v/>
      </c>
      <c r="K51" s="7">
        <f>IF(H51&gt;=2,ROUND(H51*G51,1),0)</f>
        <v/>
      </c>
    </row>
    <row r="52" ht="18" customHeight="1" s="26">
      <c r="A52" s="11" t="inlineStr">
        <is>
          <t>데이터·정산</t>
        </is>
      </c>
      <c r="B52" s="12" t="inlineStr">
        <is>
          <t>DAT-05 손익(P&amp;L) 관리</t>
        </is>
      </c>
      <c r="C52" s="7">
        <f>SUMIFS('03_통합데이터'!$H$3:$H$1002,'03_통합데이터'!$J$3:$J$1002,$B52,'03_통합데이터'!$A$3:$A$1002,"미디어커머스")</f>
        <v/>
      </c>
      <c r="D52" s="7">
        <f>SUMIFS('03_통합데이터'!$H$3:$H$1002,'03_통합데이터'!$J$3:$J$1002,$B52,'03_통합데이터'!$A$3:$A$1002,"브랜드커머스")</f>
        <v/>
      </c>
      <c r="E52" s="7">
        <f>SUMIFS('03_통합데이터'!$H$3:$H$1002,'03_통합데이터'!$J$3:$J$1002,$B52,'03_통합데이터'!$A$3:$A$1002,"해외제조")</f>
        <v/>
      </c>
      <c r="F52" s="7">
        <f>SUM(C52:E52)</f>
        <v/>
      </c>
      <c r="G52" s="7">
        <f>ROUND(F52/60,1)</f>
        <v/>
      </c>
      <c r="H52" s="7">
        <f>IF(C52&gt;0,1,0)+IF(D52&gt;0,1,0)+IF(E52&gt;0,1,0)</f>
        <v/>
      </c>
      <c r="I52" s="7">
        <f>COUNTIF('03_통합데이터'!$J$3:$J$1002,$B52)</f>
        <v/>
      </c>
      <c r="J52" s="6">
        <f>IF(H52&gt;=3,"◎ 3개팀 중복",IF(H52=2,"○ 2개팀 중복",IF(H52=1,"단독 수행","미기록")))</f>
        <v/>
      </c>
      <c r="K52" s="7">
        <f>IF(H52&gt;=2,ROUND(H52*G52,1),0)</f>
        <v/>
      </c>
    </row>
    <row r="53" ht="18" customHeight="1" s="26">
      <c r="A53" s="11" t="inlineStr">
        <is>
          <t>기획·보고·회의</t>
        </is>
      </c>
      <c r="B53" s="12" t="inlineStr">
        <is>
          <t>MGT-01 팀 내부 회의</t>
        </is>
      </c>
      <c r="C53" s="7">
        <f>SUMIFS('03_통합데이터'!$H$3:$H$1002,'03_통합데이터'!$J$3:$J$1002,$B53,'03_통합데이터'!$A$3:$A$1002,"미디어커머스")</f>
        <v/>
      </c>
      <c r="D53" s="7">
        <f>SUMIFS('03_통합데이터'!$H$3:$H$1002,'03_통합데이터'!$J$3:$J$1002,$B53,'03_통합데이터'!$A$3:$A$1002,"브랜드커머스")</f>
        <v/>
      </c>
      <c r="E53" s="7">
        <f>SUMIFS('03_통합데이터'!$H$3:$H$1002,'03_통합데이터'!$J$3:$J$1002,$B53,'03_통합데이터'!$A$3:$A$1002,"해외제조")</f>
        <v/>
      </c>
      <c r="F53" s="7">
        <f>SUM(C53:E53)</f>
        <v/>
      </c>
      <c r="G53" s="7">
        <f>ROUND(F53/60,1)</f>
        <v/>
      </c>
      <c r="H53" s="7">
        <f>IF(C53&gt;0,1,0)+IF(D53&gt;0,1,0)+IF(E53&gt;0,1,0)</f>
        <v/>
      </c>
      <c r="I53" s="7">
        <f>COUNTIF('03_통합데이터'!$J$3:$J$1002,$B53)</f>
        <v/>
      </c>
      <c r="J53" s="6">
        <f>IF(H53&gt;=3,"◎ 3개팀 중복",IF(H53=2,"○ 2개팀 중복",IF(H53=1,"단독 수행","미기록")))</f>
        <v/>
      </c>
      <c r="K53" s="7">
        <f>IF(H53&gt;=2,ROUND(H53*G53,1),0)</f>
        <v/>
      </c>
    </row>
    <row r="54" ht="18" customHeight="1" s="26">
      <c r="A54" s="11" t="inlineStr">
        <is>
          <t>기획·보고·회의</t>
        </is>
      </c>
      <c r="B54" s="12" t="inlineStr">
        <is>
          <t>MGT-02 본부·전사 회의</t>
        </is>
      </c>
      <c r="C54" s="7">
        <f>SUMIFS('03_통합데이터'!$H$3:$H$1002,'03_통합데이터'!$J$3:$J$1002,$B54,'03_통합데이터'!$A$3:$A$1002,"미디어커머스")</f>
        <v/>
      </c>
      <c r="D54" s="7">
        <f>SUMIFS('03_통합데이터'!$H$3:$H$1002,'03_통합데이터'!$J$3:$J$1002,$B54,'03_통합데이터'!$A$3:$A$1002,"브랜드커머스")</f>
        <v/>
      </c>
      <c r="E54" s="7">
        <f>SUMIFS('03_통합데이터'!$H$3:$H$1002,'03_통합데이터'!$J$3:$J$1002,$B54,'03_통합데이터'!$A$3:$A$1002,"해외제조")</f>
        <v/>
      </c>
      <c r="F54" s="7">
        <f>SUM(C54:E54)</f>
        <v/>
      </c>
      <c r="G54" s="7">
        <f>ROUND(F54/60,1)</f>
        <v/>
      </c>
      <c r="H54" s="7">
        <f>IF(C54&gt;0,1,0)+IF(D54&gt;0,1,0)+IF(E54&gt;0,1,0)</f>
        <v/>
      </c>
      <c r="I54" s="7">
        <f>COUNTIF('03_통합데이터'!$J$3:$J$1002,$B54)</f>
        <v/>
      </c>
      <c r="J54" s="6">
        <f>IF(H54&gt;=3,"◎ 3개팀 중복",IF(H54=2,"○ 2개팀 중복",IF(H54=1,"단독 수행","미기록")))</f>
        <v/>
      </c>
      <c r="K54" s="7">
        <f>IF(H54&gt;=2,ROUND(H54*G54,1),0)</f>
        <v/>
      </c>
    </row>
    <row r="55" ht="18" customHeight="1" s="26">
      <c r="A55" s="11" t="inlineStr">
        <is>
          <t>기획·보고·회의</t>
        </is>
      </c>
      <c r="B55" s="12" t="inlineStr">
        <is>
          <t>MGT-03 타 팀 협업 회의</t>
        </is>
      </c>
      <c r="C55" s="7">
        <f>SUMIFS('03_통합데이터'!$H$3:$H$1002,'03_통합데이터'!$J$3:$J$1002,$B55,'03_통합데이터'!$A$3:$A$1002,"미디어커머스")</f>
        <v/>
      </c>
      <c r="D55" s="7">
        <f>SUMIFS('03_통합데이터'!$H$3:$H$1002,'03_통합데이터'!$J$3:$J$1002,$B55,'03_통합데이터'!$A$3:$A$1002,"브랜드커머스")</f>
        <v/>
      </c>
      <c r="E55" s="7">
        <f>SUMIFS('03_통합데이터'!$H$3:$H$1002,'03_통합데이터'!$J$3:$J$1002,$B55,'03_통합데이터'!$A$3:$A$1002,"해외제조")</f>
        <v/>
      </c>
      <c r="F55" s="7">
        <f>SUM(C55:E55)</f>
        <v/>
      </c>
      <c r="G55" s="7">
        <f>ROUND(F55/60,1)</f>
        <v/>
      </c>
      <c r="H55" s="7">
        <f>IF(C55&gt;0,1,0)+IF(D55&gt;0,1,0)+IF(E55&gt;0,1,0)</f>
        <v/>
      </c>
      <c r="I55" s="7">
        <f>COUNTIF('03_통합데이터'!$J$3:$J$1002,$B55)</f>
        <v/>
      </c>
      <c r="J55" s="6">
        <f>IF(H55&gt;=3,"◎ 3개팀 중복",IF(H55=2,"○ 2개팀 중복",IF(H55=1,"단독 수행","미기록")))</f>
        <v/>
      </c>
      <c r="K55" s="7">
        <f>IF(H55&gt;=2,ROUND(H55*G55,1),0)</f>
        <v/>
      </c>
    </row>
    <row r="56" ht="18" customHeight="1" s="26">
      <c r="A56" s="11" t="inlineStr">
        <is>
          <t>기획·보고·회의</t>
        </is>
      </c>
      <c r="B56" s="12" t="inlineStr">
        <is>
          <t>MGT-04 상급자 보고·결재</t>
        </is>
      </c>
      <c r="C56" s="7">
        <f>SUMIFS('03_통합데이터'!$H$3:$H$1002,'03_통합데이터'!$J$3:$J$1002,$B56,'03_통합데이터'!$A$3:$A$1002,"미디어커머스")</f>
        <v/>
      </c>
      <c r="D56" s="7">
        <f>SUMIFS('03_통합데이터'!$H$3:$H$1002,'03_통합데이터'!$J$3:$J$1002,$B56,'03_통합데이터'!$A$3:$A$1002,"브랜드커머스")</f>
        <v/>
      </c>
      <c r="E56" s="7">
        <f>SUMIFS('03_통합데이터'!$H$3:$H$1002,'03_통합데이터'!$J$3:$J$1002,$B56,'03_통합데이터'!$A$3:$A$1002,"해외제조")</f>
        <v/>
      </c>
      <c r="F56" s="7">
        <f>SUM(C56:E56)</f>
        <v/>
      </c>
      <c r="G56" s="7">
        <f>ROUND(F56/60,1)</f>
        <v/>
      </c>
      <c r="H56" s="7">
        <f>IF(C56&gt;0,1,0)+IF(D56&gt;0,1,0)+IF(E56&gt;0,1,0)</f>
        <v/>
      </c>
      <c r="I56" s="7">
        <f>COUNTIF('03_통합데이터'!$J$3:$J$1002,$B56)</f>
        <v/>
      </c>
      <c r="J56" s="6">
        <f>IF(H56&gt;=3,"◎ 3개팀 중복",IF(H56=2,"○ 2개팀 중복",IF(H56=1,"단독 수행","미기록")))</f>
        <v/>
      </c>
      <c r="K56" s="7">
        <f>IF(H56&gt;=2,ROUND(H56*G56,1),0)</f>
        <v/>
      </c>
    </row>
    <row r="57" ht="18" customHeight="1" s="26">
      <c r="A57" s="11" t="inlineStr">
        <is>
          <t>기획·보고·회의</t>
        </is>
      </c>
      <c r="B57" s="12" t="inlineStr">
        <is>
          <t>MGT-05 기획안·제안서 작성</t>
        </is>
      </c>
      <c r="C57" s="7">
        <f>SUMIFS('03_통합데이터'!$H$3:$H$1002,'03_통합데이터'!$J$3:$J$1002,$B57,'03_통합데이터'!$A$3:$A$1002,"미디어커머스")</f>
        <v/>
      </c>
      <c r="D57" s="7">
        <f>SUMIFS('03_통합데이터'!$H$3:$H$1002,'03_통합데이터'!$J$3:$J$1002,$B57,'03_통합데이터'!$A$3:$A$1002,"브랜드커머스")</f>
        <v/>
      </c>
      <c r="E57" s="7">
        <f>SUMIFS('03_통합데이터'!$H$3:$H$1002,'03_통합데이터'!$J$3:$J$1002,$B57,'03_통합데이터'!$A$3:$A$1002,"해외제조")</f>
        <v/>
      </c>
      <c r="F57" s="7">
        <f>SUM(C57:E57)</f>
        <v/>
      </c>
      <c r="G57" s="7">
        <f>ROUND(F57/60,1)</f>
        <v/>
      </c>
      <c r="H57" s="7">
        <f>IF(C57&gt;0,1,0)+IF(D57&gt;0,1,0)+IF(E57&gt;0,1,0)</f>
        <v/>
      </c>
      <c r="I57" s="7">
        <f>COUNTIF('03_통합데이터'!$J$3:$J$1002,$B57)</f>
        <v/>
      </c>
      <c r="J57" s="6">
        <f>IF(H57&gt;=3,"◎ 3개팀 중복",IF(H57=2,"○ 2개팀 중복",IF(H57=1,"단독 수행","미기록")))</f>
        <v/>
      </c>
      <c r="K57" s="7">
        <f>IF(H57&gt;=2,ROUND(H57*G57,1),0)</f>
        <v/>
      </c>
    </row>
    <row r="58" ht="18" customHeight="1" s="26">
      <c r="A58" s="11" t="inlineStr">
        <is>
          <t>기획·보고·회의</t>
        </is>
      </c>
      <c r="B58" s="12" t="inlineStr">
        <is>
          <t>MGT-06 팀원 업무·산출물 검토·피드백</t>
        </is>
      </c>
      <c r="C58" s="7">
        <f>SUMIFS('03_통합데이터'!$H$3:$H$1002,'03_통합데이터'!$J$3:$J$1002,$B58,'03_통합데이터'!$A$3:$A$1002,"미디어커머스")</f>
        <v/>
      </c>
      <c r="D58" s="7">
        <f>SUMIFS('03_통합데이터'!$H$3:$H$1002,'03_통합데이터'!$J$3:$J$1002,$B58,'03_통합데이터'!$A$3:$A$1002,"브랜드커머스")</f>
        <v/>
      </c>
      <c r="E58" s="7">
        <f>SUMIFS('03_통합데이터'!$H$3:$H$1002,'03_통합데이터'!$J$3:$J$1002,$B58,'03_통합데이터'!$A$3:$A$1002,"해외제조")</f>
        <v/>
      </c>
      <c r="F58" s="7">
        <f>SUM(C58:E58)</f>
        <v/>
      </c>
      <c r="G58" s="7">
        <f>ROUND(F58/60,1)</f>
        <v/>
      </c>
      <c r="H58" s="7">
        <f>IF(C58&gt;0,1,0)+IF(D58&gt;0,1,0)+IF(E58&gt;0,1,0)</f>
        <v/>
      </c>
      <c r="I58" s="7">
        <f>COUNTIF('03_통합데이터'!$J$3:$J$1002,$B58)</f>
        <v/>
      </c>
      <c r="J58" s="6">
        <f>IF(H58&gt;=3,"◎ 3개팀 중복",IF(H58=2,"○ 2개팀 중복",IF(H58=1,"단독 수행","미기록")))</f>
        <v/>
      </c>
      <c r="K58" s="7">
        <f>IF(H58&gt;=2,ROUND(H58*G58,1),0)</f>
        <v/>
      </c>
    </row>
    <row r="59">
      <c r="A59" s="11" t="inlineStr">
        <is>
          <t>기획·보고·회의</t>
        </is>
      </c>
      <c r="B59" s="12" t="inlineStr">
        <is>
          <t>MGT-07 업무 인수인계·이관</t>
        </is>
      </c>
      <c r="C59" s="7">
        <f>SUMIFS('03_통합데이터'!$H$3:$H$1002,'03_통합데이터'!$J$3:$J$1002,$B59,'03_통합데이터'!$A$3:$A$1002,"미디어커머스")</f>
        <v/>
      </c>
      <c r="D59" s="7">
        <f>SUMIFS('03_통합데이터'!$H$3:$H$1002,'03_통합데이터'!$J$3:$J$1002,$B59,'03_통합데이터'!$A$3:$A$1002,"브랜드커머스")</f>
        <v/>
      </c>
      <c r="E59" s="7">
        <f>SUMIFS('03_통합데이터'!$H$3:$H$1002,'03_통합데이터'!$J$3:$J$1002,$B59,'03_통합데이터'!$A$3:$A$1002,"해외제조")</f>
        <v/>
      </c>
      <c r="F59" s="7">
        <f>SUM(C59:E59)</f>
        <v/>
      </c>
      <c r="G59" s="7">
        <f>ROUND(F59/60,1)</f>
        <v/>
      </c>
      <c r="H59" s="7">
        <f>IF(C59&gt;0,1,0)+IF(D59&gt;0,1,0)+IF(E59&gt;0,1,0)</f>
        <v/>
      </c>
      <c r="I59" s="7">
        <f>COUNTIF('03_통합데이터'!$J$3:$J$1002,$B59)</f>
        <v/>
      </c>
      <c r="J59" s="6">
        <f>IF(H59&gt;=3,"◎ 3개팀 중복",IF(H59=2,"○ 2개팀 중복",IF(H59=1,"단독 수행","미기록")))</f>
        <v/>
      </c>
      <c r="K59" s="7">
        <f>IF(H59&gt;=2,ROUND(H59*G59,1),0)</f>
        <v/>
      </c>
    </row>
    <row r="60">
      <c r="A60" s="11" t="inlineStr">
        <is>
          <t>사내시스템·자동화</t>
        </is>
      </c>
      <c r="B60" s="12" t="inlineStr">
        <is>
          <t>SYS-01 사내 시스템·앱 기획/개선 요청</t>
        </is>
      </c>
      <c r="C60" s="7">
        <f>SUMIFS('03_통합데이터'!$H$3:$H$1002,'03_통합데이터'!$J$3:$J$1002,$B60,'03_통합데이터'!$A$3:$A$1002,"미디어커머스")</f>
        <v/>
      </c>
      <c r="D60" s="7">
        <f>SUMIFS('03_통합데이터'!$H$3:$H$1002,'03_통합데이터'!$J$3:$J$1002,$B60,'03_통합데이터'!$A$3:$A$1002,"브랜드커머스")</f>
        <v/>
      </c>
      <c r="E60" s="7">
        <f>SUMIFS('03_통합데이터'!$H$3:$H$1002,'03_통합데이터'!$J$3:$J$1002,$B60,'03_통합데이터'!$A$3:$A$1002,"해외제조")</f>
        <v/>
      </c>
      <c r="F60" s="7">
        <f>SUM(C60:E60)</f>
        <v/>
      </c>
      <c r="G60" s="7">
        <f>ROUND(F60/60,1)</f>
        <v/>
      </c>
      <c r="H60" s="7">
        <f>IF(C60&gt;0,1,0)+IF(D60&gt;0,1,0)+IF(E60&gt;0,1,0)</f>
        <v/>
      </c>
      <c r="I60" s="7">
        <f>COUNTIF('03_통합데이터'!$J$3:$J$1002,$B60)</f>
        <v/>
      </c>
      <c r="J60" s="6">
        <f>IF(H60&gt;=3,"◎ 3개팀 중복",IF(H60=2,"○ 2개팀 중복",IF(H60=1,"단독 수행","미기록")))</f>
        <v/>
      </c>
      <c r="K60" s="7">
        <f>IF(H60&gt;=2,ROUND(H60*G60,1),0)</f>
        <v/>
      </c>
    </row>
    <row r="61" ht="16.5" customHeight="1" s="26">
      <c r="A61" s="11" t="inlineStr">
        <is>
          <t>파트너·대리점관리</t>
        </is>
      </c>
      <c r="B61" s="12" t="inlineStr">
        <is>
          <t>PTR-01 대리점·파트너사 방문·미팅</t>
        </is>
      </c>
      <c r="C61" s="7">
        <f>SUMIFS('03_통합데이터'!$H$3:$H$1002,'03_통합데이터'!$J$3:$J$1002,$B61,'03_통합데이터'!$A$3:$A$1002,"미디어커머스")</f>
        <v/>
      </c>
      <c r="D61" s="7">
        <f>SUMIFS('03_통합데이터'!$H$3:$H$1002,'03_통합데이터'!$J$3:$J$1002,$B61,'03_통합데이터'!$A$3:$A$1002,"브랜드커머스")</f>
        <v/>
      </c>
      <c r="E61" s="7">
        <f>SUMIFS('03_통합데이터'!$H$3:$H$1002,'03_통합데이터'!$J$3:$J$1002,$B61,'03_통합데이터'!$A$3:$A$1002,"해외제조")</f>
        <v/>
      </c>
      <c r="F61" s="7">
        <f>SUM(C61:E61)</f>
        <v/>
      </c>
      <c r="G61" s="7">
        <f>ROUND(F61/60,1)</f>
        <v/>
      </c>
      <c r="H61" s="7">
        <f>IF(C61&gt;0,1,0)+IF(D61&gt;0,1,0)+IF(E61&gt;0,1,0)</f>
        <v/>
      </c>
      <c r="I61" s="7">
        <f>COUNTIF('03_통합데이터'!$J$3:$J$1002,$B61)</f>
        <v/>
      </c>
      <c r="J61" s="6">
        <f>IF(H61&gt;=3,"◎ 3개팀 중복",IF(H61=2,"○ 2개팀 중복",IF(H61=1,"단독 수행","미기록")))</f>
        <v/>
      </c>
      <c r="K61" s="7">
        <f>IF(H61&gt;=2,ROUND(H61*G61,1),0)</f>
        <v/>
      </c>
    </row>
    <row r="62" ht="26.25" customHeight="1" s="26">
      <c r="A62" s="11" t="inlineStr">
        <is>
          <t>파트너·대리점관리</t>
        </is>
      </c>
      <c r="B62" s="12" t="inlineStr">
        <is>
          <t>PTR-02 대리점·파트너 인터뷰·VOC 수집</t>
        </is>
      </c>
      <c r="C62" s="7">
        <f>SUMIFS('03_통합데이터'!$H$3:$H$1002,'03_통합데이터'!$J$3:$J$1002,$B62,'03_통합데이터'!$A$3:$A$1002,"미디어커머스")</f>
        <v/>
      </c>
      <c r="D62" s="7">
        <f>SUMIFS('03_통합데이터'!$H$3:$H$1002,'03_통합데이터'!$J$3:$J$1002,$B62,'03_통합데이터'!$A$3:$A$1002,"브랜드커머스")</f>
        <v/>
      </c>
      <c r="E62" s="7">
        <f>SUMIFS('03_통합데이터'!$H$3:$H$1002,'03_통합데이터'!$J$3:$J$1002,$B62,'03_통합데이터'!$A$3:$A$1002,"해외제조")</f>
        <v/>
      </c>
      <c r="F62" s="7">
        <f>SUM(C62:E62)</f>
        <v/>
      </c>
      <c r="G62" s="7">
        <f>ROUND(F62/60,1)</f>
        <v/>
      </c>
      <c r="H62" s="7">
        <f>IF(C62&gt;0,1,0)+IF(D62&gt;0,1,0)+IF(E62&gt;0,1,0)</f>
        <v/>
      </c>
      <c r="I62" s="7">
        <f>COUNTIF('03_통합데이터'!$J$3:$J$1002,$B62)</f>
        <v/>
      </c>
      <c r="J62" s="6">
        <f>IF(H62&gt;=3,"◎ 3개팀 중복",IF(H62=2,"○ 2개팀 중복",IF(H62=1,"단독 수행","미기록")))</f>
        <v/>
      </c>
      <c r="K62" s="7">
        <f>IF(H62&gt;=2,ROUND(H62*G62,1),0)</f>
        <v/>
      </c>
    </row>
    <row r="63">
      <c r="A63" s="11" t="inlineStr">
        <is>
          <t>기타·행정</t>
        </is>
      </c>
      <c r="B63" s="12" t="inlineStr">
        <is>
          <t>ETC-01 메일·메신저 확인 및 회신</t>
        </is>
      </c>
      <c r="C63" s="7">
        <f>SUMIFS('03_통합데이터'!$H$3:$H$1002,'03_통합데이터'!$J$3:$J$1002,$B63,'03_통합데이터'!$A$3:$A$1002,"미디어커머스")</f>
        <v/>
      </c>
      <c r="D63" s="7">
        <f>SUMIFS('03_통합데이터'!$H$3:$H$1002,'03_통합데이터'!$J$3:$J$1002,$B63,'03_통합데이터'!$A$3:$A$1002,"브랜드커머스")</f>
        <v/>
      </c>
      <c r="E63" s="7">
        <f>SUMIFS('03_통합데이터'!$H$3:$H$1002,'03_통합데이터'!$J$3:$J$1002,$B63,'03_통합데이터'!$A$3:$A$1002,"해외제조")</f>
        <v/>
      </c>
      <c r="F63" s="7">
        <f>SUM(C63:E63)</f>
        <v/>
      </c>
      <c r="G63" s="7">
        <f>ROUND(F63/60,1)</f>
        <v/>
      </c>
      <c r="H63" s="7">
        <f>IF(C63&gt;0,1,0)+IF(D63&gt;0,1,0)+IF(E63&gt;0,1,0)</f>
        <v/>
      </c>
      <c r="I63" s="7">
        <f>COUNTIF('03_통합데이터'!$J$3:$J$1002,$B63)</f>
        <v/>
      </c>
      <c r="J63" s="6">
        <f>IF(H63&gt;=3,"◎ 3개팀 중복",IF(H63=2,"○ 2개팀 중복",IF(H63=1,"단독 수행","미기록")))</f>
        <v/>
      </c>
      <c r="K63" s="7">
        <f>IF(H63&gt;=2,ROUND(H63*G63,1),0)</f>
        <v/>
      </c>
    </row>
    <row r="64">
      <c r="A64" s="11" t="inlineStr">
        <is>
          <t>기타·행정</t>
        </is>
      </c>
      <c r="B64" s="12" t="inlineStr">
        <is>
          <t>ETC-02 행정·경비·구매 처리</t>
        </is>
      </c>
      <c r="C64" s="7">
        <f>SUMIFS('03_통합데이터'!$H$3:$H$1002,'03_통합데이터'!$J$3:$J$1002,$B64,'03_통합데이터'!$A$3:$A$1002,"미디어커머스")</f>
        <v/>
      </c>
      <c r="D64" s="7">
        <f>SUMIFS('03_통합데이터'!$H$3:$H$1002,'03_통합데이터'!$J$3:$J$1002,$B64,'03_통합데이터'!$A$3:$A$1002,"브랜드커머스")</f>
        <v/>
      </c>
      <c r="E64" s="7">
        <f>SUMIFS('03_통합데이터'!$H$3:$H$1002,'03_통합데이터'!$J$3:$J$1002,$B64,'03_통합데이터'!$A$3:$A$1002,"해외제조")</f>
        <v/>
      </c>
      <c r="F64" s="7">
        <f>SUM(C64:E64)</f>
        <v/>
      </c>
      <c r="G64" s="7">
        <f>ROUND(F64/60,1)</f>
        <v/>
      </c>
      <c r="H64" s="7">
        <f>IF(C64&gt;0,1,0)+IF(D64&gt;0,1,0)+IF(E64&gt;0,1,0)</f>
        <v/>
      </c>
      <c r="I64" s="7">
        <f>COUNTIF('03_통합데이터'!$J$3:$J$1002,$B64)</f>
        <v/>
      </c>
      <c r="J64" s="6">
        <f>IF(H64&gt;=3,"◎ 3개팀 중복",IF(H64=2,"○ 2개팀 중복",IF(H64=1,"단독 수행","미기록")))</f>
        <v/>
      </c>
      <c r="K64" s="7">
        <f>IF(H64&gt;=2,ROUND(H64*G64,1),0)</f>
        <v/>
      </c>
    </row>
    <row r="65">
      <c r="A65" s="11" t="inlineStr">
        <is>
          <t>기타·행정</t>
        </is>
      </c>
      <c r="B65" s="12" t="inlineStr">
        <is>
          <t>ETC-03 채용·교육·인사</t>
        </is>
      </c>
      <c r="C65" s="7">
        <f>SUMIFS('03_통합데이터'!$H$3:$H$1002,'03_통합데이터'!$J$3:$J$1002,$B65,'03_통합데이터'!$A$3:$A$1002,"미디어커머스")</f>
        <v/>
      </c>
      <c r="D65" s="7">
        <f>SUMIFS('03_통합데이터'!$H$3:$H$1002,'03_통합데이터'!$J$3:$J$1002,$B65,'03_통합데이터'!$A$3:$A$1002,"브랜드커머스")</f>
        <v/>
      </c>
      <c r="E65" s="7">
        <f>SUMIFS('03_통합데이터'!$H$3:$H$1002,'03_통합데이터'!$J$3:$J$1002,$B65,'03_통합데이터'!$A$3:$A$1002,"해외제조")</f>
        <v/>
      </c>
      <c r="F65" s="7">
        <f>SUM(C65:E65)</f>
        <v/>
      </c>
      <c r="G65" s="7">
        <f>ROUND(F65/60,1)</f>
        <v/>
      </c>
      <c r="H65" s="7">
        <f>IF(C65&gt;0,1,0)+IF(D65&gt;0,1,0)+IF(E65&gt;0,1,0)</f>
        <v/>
      </c>
      <c r="I65" s="7">
        <f>COUNTIF('03_통합데이터'!$J$3:$J$1002,$B65)</f>
        <v/>
      </c>
      <c r="J65" s="6">
        <f>IF(H65&gt;=3,"◎ 3개팀 중복",IF(H65=2,"○ 2개팀 중복",IF(H65=1,"단독 수행","미기록")))</f>
        <v/>
      </c>
      <c r="K65" s="7">
        <f>IF(H65&gt;=2,ROUND(H65*G65,1),0)</f>
        <v/>
      </c>
    </row>
    <row r="66">
      <c r="A66" s="11" t="inlineStr">
        <is>
          <t>기타·행정</t>
        </is>
      </c>
      <c r="B66" s="12" t="inlineStr">
        <is>
          <t>ETC-04 이동·외근</t>
        </is>
      </c>
      <c r="C66" s="7">
        <f>SUMIFS('03_통합데이터'!$H$3:$H$1002,'03_통합데이터'!$J$3:$J$1002,$B66,'03_통합데이터'!$A$3:$A$1002,"미디어커머스")</f>
        <v/>
      </c>
      <c r="D66" s="7">
        <f>SUMIFS('03_통합데이터'!$H$3:$H$1002,'03_통합데이터'!$J$3:$J$1002,$B66,'03_통합데이터'!$A$3:$A$1002,"브랜드커머스")</f>
        <v/>
      </c>
      <c r="E66" s="7">
        <f>SUMIFS('03_통합데이터'!$H$3:$H$1002,'03_통합데이터'!$J$3:$J$1002,$B66,'03_통합데이터'!$A$3:$A$1002,"해외제조")</f>
        <v/>
      </c>
      <c r="F66" s="7">
        <f>SUM(C66:E66)</f>
        <v/>
      </c>
      <c r="G66" s="7">
        <f>ROUND(F66/60,1)</f>
        <v/>
      </c>
      <c r="H66" s="7">
        <f>IF(C66&gt;0,1,0)+IF(D66&gt;0,1,0)+IF(E66&gt;0,1,0)</f>
        <v/>
      </c>
      <c r="I66" s="7">
        <f>COUNTIF('03_통합데이터'!$J$3:$J$1002,$B66)</f>
        <v/>
      </c>
      <c r="J66" s="6">
        <f>IF(H66&gt;=3,"◎ 3개팀 중복",IF(H66=2,"○ 2개팀 중복",IF(H66=1,"단독 수행","미기록")))</f>
        <v/>
      </c>
      <c r="K66" s="7">
        <f>IF(H66&gt;=2,ROUND(H66*G66,1),0)</f>
        <v/>
      </c>
    </row>
    <row r="67">
      <c r="A67" s="11" t="inlineStr">
        <is>
          <t>기타·행정</t>
        </is>
      </c>
      <c r="B67" s="12" t="inlineStr">
        <is>
          <t>ETC-05 휴게·점심</t>
        </is>
      </c>
      <c r="C67" s="7">
        <f>SUMIFS('03_통합데이터'!$H$3:$H$1002,'03_통합데이터'!$J$3:$J$1002,$B67,'03_통합데이터'!$A$3:$A$1002,"미디어커머스")</f>
        <v/>
      </c>
      <c r="D67" s="7">
        <f>SUMIFS('03_통합데이터'!$H$3:$H$1002,'03_통합데이터'!$J$3:$J$1002,$B67,'03_통합데이터'!$A$3:$A$1002,"브랜드커머스")</f>
        <v/>
      </c>
      <c r="E67" s="7">
        <f>SUMIFS('03_통합데이터'!$H$3:$H$1002,'03_통합데이터'!$J$3:$J$1002,$B67,'03_통합데이터'!$A$3:$A$1002,"해외제조")</f>
        <v/>
      </c>
      <c r="F67" s="7">
        <f>SUM(C67:E67)</f>
        <v/>
      </c>
      <c r="G67" s="7">
        <f>ROUND(F67/60,1)</f>
        <v/>
      </c>
      <c r="H67" s="7">
        <f>IF(C67&gt;0,1,0)+IF(D67&gt;0,1,0)+IF(E67&gt;0,1,0)</f>
        <v/>
      </c>
      <c r="I67" s="7">
        <f>COUNTIF('03_통합데이터'!$J$3:$J$1002,$B67)</f>
        <v/>
      </c>
      <c r="J67" s="6">
        <f>IF(H67&gt;=3,"◎ 3개팀 중복",IF(H67=2,"○ 2개팀 중복",IF(H67=1,"단독 수행","미기록")))</f>
        <v/>
      </c>
      <c r="K67" s="7">
        <f>IF(H67&gt;=2,ROUND(H67*G67,1),0)</f>
        <v/>
      </c>
    </row>
    <row r="70">
      <c r="A70" s="39" t="inlineStr">
        <is>
          <t>▣ 업무 대분류별 팀 투입 비교 (어느 영역이 겹치는지 한눈에)</t>
        </is>
      </c>
    </row>
    <row r="71" ht="25.5" customHeight="1" s="26">
      <c r="A71" s="4" t="inlineStr">
        <is>
          <t>업무 대분류</t>
        </is>
      </c>
      <c r="B71" s="4" t="inlineStr">
        <is>
          <t>미디어커머스(h)</t>
        </is>
      </c>
      <c r="C71" s="4" t="inlineStr">
        <is>
          <t>브랜드커머스(h)</t>
        </is>
      </c>
      <c r="D71" s="4" t="inlineStr">
        <is>
          <t>해외제조(h)</t>
        </is>
      </c>
      <c r="E71" s="4" t="inlineStr">
        <is>
          <t>합계(h)</t>
        </is>
      </c>
      <c r="F71" s="4" t="inlineStr">
        <is>
          <t>수행 팀수</t>
        </is>
      </c>
      <c r="G71" s="4" t="inlineStr">
        <is>
          <t>판정</t>
        </is>
      </c>
    </row>
    <row r="72">
      <c r="A72" s="13" t="inlineStr">
        <is>
          <t>상품기획·소싱</t>
        </is>
      </c>
      <c r="B72" s="7">
        <f>ROUND(SUMIFS('03_통합데이터'!$H$3:$H$1002,'03_통합데이터'!$I$3:$I$1002,$A72,'03_통합데이터'!$A$3:$A$1002,"미디어커머스")/60,1)</f>
        <v/>
      </c>
      <c r="C72" s="7">
        <f>ROUND(SUMIFS('03_통합데이터'!$H$3:$H$1002,'03_통합데이터'!$I$3:$I$1002,$A72,'03_통합데이터'!$A$3:$A$1002,"브랜드커머스")/60,1)</f>
        <v/>
      </c>
      <c r="D72" s="7">
        <f>ROUND(SUMIFS('03_통합데이터'!$H$3:$H$1002,'03_통합데이터'!$I$3:$I$1002,$A72,'03_통합데이터'!$A$3:$A$1002,"해외제조")/60,1)</f>
        <v/>
      </c>
      <c r="E72" s="7">
        <f>ROUND(SUM(B72:D72),1)</f>
        <v/>
      </c>
      <c r="F72" s="7">
        <f>IF(B72&gt;0,1,0)+IF(C72&gt;0,1,0)+IF(D72&gt;0,1,0)</f>
        <v/>
      </c>
      <c r="G72" s="6">
        <f>IF(F72&gt;=3,"◎ 전팀 수행",IF(F72=2,"○ 2개팀",""))</f>
        <v/>
      </c>
    </row>
    <row r="73">
      <c r="A73" s="13" t="inlineStr">
        <is>
          <t>제조·생산관리</t>
        </is>
      </c>
      <c r="B73" s="7">
        <f>ROUND(SUMIFS('03_통합데이터'!$H$3:$H$1002,'03_통합데이터'!$I$3:$I$1002,$A73,'03_통합데이터'!$A$3:$A$1002,"미디어커머스")/60,1)</f>
        <v/>
      </c>
      <c r="C73" s="7">
        <f>ROUND(SUMIFS('03_통합데이터'!$H$3:$H$1002,'03_통합데이터'!$I$3:$I$1002,$A73,'03_통합데이터'!$A$3:$A$1002,"브랜드커머스")/60,1)</f>
        <v/>
      </c>
      <c r="D73" s="7">
        <f>ROUND(SUMIFS('03_통합데이터'!$H$3:$H$1002,'03_통합데이터'!$I$3:$I$1002,$A73,'03_통합데이터'!$A$3:$A$1002,"해외제조")/60,1)</f>
        <v/>
      </c>
      <c r="E73" s="7">
        <f>ROUND(SUM(B73:D73),1)</f>
        <v/>
      </c>
      <c r="F73" s="7">
        <f>IF(B73&gt;0,1,0)+IF(C73&gt;0,1,0)+IF(D73&gt;0,1,0)</f>
        <v/>
      </c>
      <c r="G73" s="6">
        <f>IF(F73&gt;=3,"◎ 전팀 수행",IF(F73=2,"○ 2개팀",""))</f>
        <v/>
      </c>
    </row>
    <row r="74">
      <c r="A74" s="13" t="inlineStr">
        <is>
          <t>마케팅·광고운영</t>
        </is>
      </c>
      <c r="B74" s="7">
        <f>ROUND(SUMIFS('03_통합데이터'!$H$3:$H$1002,'03_통합데이터'!$I$3:$I$1002,$A74,'03_통합데이터'!$A$3:$A$1002,"미디어커머스")/60,1)</f>
        <v/>
      </c>
      <c r="C74" s="7">
        <f>ROUND(SUMIFS('03_통합데이터'!$H$3:$H$1002,'03_통합데이터'!$I$3:$I$1002,$A74,'03_통합데이터'!$A$3:$A$1002,"브랜드커머스")/60,1)</f>
        <v/>
      </c>
      <c r="D74" s="7">
        <f>ROUND(SUMIFS('03_통합데이터'!$H$3:$H$1002,'03_통합데이터'!$I$3:$I$1002,$A74,'03_통합데이터'!$A$3:$A$1002,"해외제조")/60,1)</f>
        <v/>
      </c>
      <c r="E74" s="7">
        <f>ROUND(SUM(B74:D74),1)</f>
        <v/>
      </c>
      <c r="F74" s="7">
        <f>IF(B74&gt;0,1,0)+IF(C74&gt;0,1,0)+IF(D74&gt;0,1,0)</f>
        <v/>
      </c>
      <c r="G74" s="6">
        <f>IF(F74&gt;=3,"◎ 전팀 수행",IF(F74=2,"○ 2개팀",""))</f>
        <v/>
      </c>
    </row>
    <row r="75">
      <c r="A75" s="13" t="inlineStr">
        <is>
          <t>콘텐츠제작</t>
        </is>
      </c>
      <c r="B75" s="7">
        <f>ROUND(SUMIFS('03_통합데이터'!$H$3:$H$1002,'03_통합데이터'!$I$3:$I$1002,$A75,'03_통합데이터'!$A$3:$A$1002,"미디어커머스")/60,1)</f>
        <v/>
      </c>
      <c r="C75" s="7">
        <f>ROUND(SUMIFS('03_통합데이터'!$H$3:$H$1002,'03_통합데이터'!$I$3:$I$1002,$A75,'03_통합데이터'!$A$3:$A$1002,"브랜드커머스")/60,1)</f>
        <v/>
      </c>
      <c r="D75" s="7">
        <f>ROUND(SUMIFS('03_통합데이터'!$H$3:$H$1002,'03_통합데이터'!$I$3:$I$1002,$A75,'03_통합데이터'!$A$3:$A$1002,"해외제조")/60,1)</f>
        <v/>
      </c>
      <c r="E75" s="7">
        <f>ROUND(SUM(B75:D75),1)</f>
        <v/>
      </c>
      <c r="F75" s="7">
        <f>IF(B75&gt;0,1,0)+IF(C75&gt;0,1,0)+IF(D75&gt;0,1,0)</f>
        <v/>
      </c>
      <c r="G75" s="6">
        <f>IF(F75&gt;=3,"◎ 전팀 수행",IF(F75=2,"○ 2개팀",""))</f>
        <v/>
      </c>
    </row>
    <row r="76">
      <c r="A76" s="13" t="inlineStr">
        <is>
          <t>채널·스토어운영</t>
        </is>
      </c>
      <c r="B76" s="7">
        <f>ROUND(SUMIFS('03_통합데이터'!$H$3:$H$1002,'03_통합데이터'!$I$3:$I$1002,$A76,'03_통합데이터'!$A$3:$A$1002,"미디어커머스")/60,1)</f>
        <v/>
      </c>
      <c r="C76" s="7">
        <f>ROUND(SUMIFS('03_통합데이터'!$H$3:$H$1002,'03_통합데이터'!$I$3:$I$1002,$A76,'03_통합데이터'!$A$3:$A$1002,"브랜드커머스")/60,1)</f>
        <v/>
      </c>
      <c r="D76" s="7">
        <f>ROUND(SUMIFS('03_통합데이터'!$H$3:$H$1002,'03_통합데이터'!$I$3:$I$1002,$A76,'03_통합데이터'!$A$3:$A$1002,"해외제조")/60,1)</f>
        <v/>
      </c>
      <c r="E76" s="7">
        <f>ROUND(SUM(B76:D76),1)</f>
        <v/>
      </c>
      <c r="F76" s="7">
        <f>IF(B76&gt;0,1,0)+IF(C76&gt;0,1,0)+IF(D76&gt;0,1,0)</f>
        <v/>
      </c>
      <c r="G76" s="6">
        <f>IF(F76&gt;=3,"◎ 전팀 수행",IF(F76=2,"○ 2개팀",""))</f>
        <v/>
      </c>
    </row>
    <row r="77">
      <c r="A77" s="13" t="inlineStr">
        <is>
          <t>CS·물류·재고</t>
        </is>
      </c>
      <c r="B77" s="7">
        <f>ROUND(SUMIFS('03_통합데이터'!$H$3:$H$1002,'03_통합데이터'!$I$3:$I$1002,$A77,'03_통합데이터'!$A$3:$A$1002,"미디어커머스")/60,1)</f>
        <v/>
      </c>
      <c r="C77" s="7">
        <f>ROUND(SUMIFS('03_통합데이터'!$H$3:$H$1002,'03_통합데이터'!$I$3:$I$1002,$A77,'03_통합데이터'!$A$3:$A$1002,"브랜드커머스")/60,1)</f>
        <v/>
      </c>
      <c r="D77" s="7">
        <f>ROUND(SUMIFS('03_통합데이터'!$H$3:$H$1002,'03_통합데이터'!$I$3:$I$1002,$A77,'03_통합데이터'!$A$3:$A$1002,"해외제조")/60,1)</f>
        <v/>
      </c>
      <c r="E77" s="7">
        <f>ROUND(SUM(B77:D77),1)</f>
        <v/>
      </c>
      <c r="F77" s="7">
        <f>IF(B77&gt;0,1,0)+IF(C77&gt;0,1,0)+IF(D77&gt;0,1,0)</f>
        <v/>
      </c>
      <c r="G77" s="6">
        <f>IF(F77&gt;=3,"◎ 전팀 수행",IF(F77=2,"○ 2개팀",""))</f>
        <v/>
      </c>
    </row>
    <row r="78">
      <c r="A78" s="13" t="inlineStr">
        <is>
          <t>데이터·정산</t>
        </is>
      </c>
      <c r="B78" s="7">
        <f>ROUND(SUMIFS('03_통합데이터'!$H$3:$H$1002,'03_통합데이터'!$I$3:$I$1002,$A78,'03_통합데이터'!$A$3:$A$1002,"미디어커머스")/60,1)</f>
        <v/>
      </c>
      <c r="C78" s="7">
        <f>ROUND(SUMIFS('03_통합데이터'!$H$3:$H$1002,'03_통합데이터'!$I$3:$I$1002,$A78,'03_통합데이터'!$A$3:$A$1002,"브랜드커머스")/60,1)</f>
        <v/>
      </c>
      <c r="D78" s="7">
        <f>ROUND(SUMIFS('03_통합데이터'!$H$3:$H$1002,'03_통합데이터'!$I$3:$I$1002,$A78,'03_통합데이터'!$A$3:$A$1002,"해외제조")/60,1)</f>
        <v/>
      </c>
      <c r="E78" s="7">
        <f>ROUND(SUM(B78:D78),1)</f>
        <v/>
      </c>
      <c r="F78" s="7">
        <f>IF(B78&gt;0,1,0)+IF(C78&gt;0,1,0)+IF(D78&gt;0,1,0)</f>
        <v/>
      </c>
      <c r="G78" s="6">
        <f>IF(F78&gt;=3,"◎ 전팀 수행",IF(F78=2,"○ 2개팀",""))</f>
        <v/>
      </c>
    </row>
    <row r="79">
      <c r="A79" s="13" t="inlineStr">
        <is>
          <t>기획·보고·회의</t>
        </is>
      </c>
      <c r="B79" s="7">
        <f>ROUND(SUMIFS('03_통합데이터'!$H$3:$H$1002,'03_통합데이터'!$I$3:$I$1002,$A79,'03_통합데이터'!$A$3:$A$1002,"미디어커머스")/60,1)</f>
        <v/>
      </c>
      <c r="C79" s="7">
        <f>ROUND(SUMIFS('03_통합데이터'!$H$3:$H$1002,'03_통합데이터'!$I$3:$I$1002,$A79,'03_통합데이터'!$A$3:$A$1002,"브랜드커머스")/60,1)</f>
        <v/>
      </c>
      <c r="D79" s="7">
        <f>ROUND(SUMIFS('03_통합데이터'!$H$3:$H$1002,'03_통합데이터'!$I$3:$I$1002,$A79,'03_통합데이터'!$A$3:$A$1002,"해외제조")/60,1)</f>
        <v/>
      </c>
      <c r="E79" s="7">
        <f>ROUND(SUM(B79:D79),1)</f>
        <v/>
      </c>
      <c r="F79" s="7">
        <f>IF(B79&gt;0,1,0)+IF(C79&gt;0,1,0)+IF(D79&gt;0,1,0)</f>
        <v/>
      </c>
      <c r="G79" s="6">
        <f>IF(F79&gt;=3,"◎ 전팀 수행",IF(F79=2,"○ 2개팀",""))</f>
        <v/>
      </c>
    </row>
    <row r="80">
      <c r="A80" s="13" t="inlineStr">
        <is>
          <t>사내시스템·자동화</t>
        </is>
      </c>
      <c r="B80" s="7">
        <f>ROUND(SUMIFS('03_통합데이터'!$H$3:$H$1002,'03_통합데이터'!$I$3:$I$1002,$A80,'03_통합데이터'!$A$3:$A$1002,"미디어커머스")/60,1)</f>
        <v/>
      </c>
      <c r="C80" s="7">
        <f>ROUND(SUMIFS('03_통합데이터'!$H$3:$H$1002,'03_통합데이터'!$I$3:$I$1002,$A80,'03_통합데이터'!$A$3:$A$1002,"브랜드커머스")/60,1)</f>
        <v/>
      </c>
      <c r="D80" s="7">
        <f>ROUND(SUMIFS('03_통합데이터'!$H$3:$H$1002,'03_통합데이터'!$I$3:$I$1002,$A80,'03_통합데이터'!$A$3:$A$1002,"해외제조")/60,1)</f>
        <v/>
      </c>
      <c r="E80" s="7">
        <f>ROUND(SUM(B80:D80),1)</f>
        <v/>
      </c>
      <c r="F80" s="7">
        <f>IF(B80&gt;0,1,0)+IF(C80&gt;0,1,0)+IF(D80&gt;0,1,0)</f>
        <v/>
      </c>
      <c r="G80" s="6">
        <f>IF(F80&gt;=3,"◎ 전팀 수행",IF(F80=2,"○ 2개팀",""))</f>
        <v/>
      </c>
    </row>
    <row r="81">
      <c r="A81" s="13" t="inlineStr">
        <is>
          <t>파트너·대리점관리</t>
        </is>
      </c>
      <c r="B81" s="7">
        <f>ROUND(SUMIFS('03_통합데이터'!$H$3:$H$1002,'03_통합데이터'!$I$3:$I$1002,$A81,'03_통합데이터'!$A$3:$A$1002,"미디어커머스")/60,1)</f>
        <v/>
      </c>
      <c r="C81" s="7">
        <f>ROUND(SUMIFS('03_통합데이터'!$H$3:$H$1002,'03_통합데이터'!$I$3:$I$1002,$A81,'03_통합데이터'!$A$3:$A$1002,"브랜드커머스")/60,1)</f>
        <v/>
      </c>
      <c r="D81" s="7">
        <f>ROUND(SUMIFS('03_통합데이터'!$H$3:$H$1002,'03_통합데이터'!$I$3:$I$1002,$A81,'03_통합데이터'!$A$3:$A$1002,"해외제조")/60,1)</f>
        <v/>
      </c>
      <c r="E81" s="7">
        <f>ROUND(SUM(B81:D81),1)</f>
        <v/>
      </c>
      <c r="F81" s="7">
        <f>IF(B81&gt;0,1,0)+IF(C81&gt;0,1,0)+IF(D81&gt;0,1,0)</f>
        <v/>
      </c>
      <c r="G81" s="6">
        <f>IF(F81&gt;=3,"◎ 전팀 수행",IF(F81=2,"○ 2개팀",""))</f>
        <v/>
      </c>
    </row>
    <row r="82">
      <c r="A82" s="13" t="inlineStr">
        <is>
          <t>기타·행정</t>
        </is>
      </c>
      <c r="B82" s="7">
        <f>ROUND(SUMIFS('03_통합데이터'!$H$3:$H$1002,'03_통합데이터'!$I$3:$I$1002,$A82,'03_통합데이터'!$A$3:$A$1002,"미디어커머스")/60,1)</f>
        <v/>
      </c>
      <c r="C82" s="7">
        <f>ROUND(SUMIFS('03_통합데이터'!$H$3:$H$1002,'03_통합데이터'!$I$3:$I$1002,$A82,'03_통합데이터'!$A$3:$A$1002,"브랜드커머스")/60,1)</f>
        <v/>
      </c>
      <c r="D82" s="7">
        <f>ROUND(SUMIFS('03_통합데이터'!$H$3:$H$1002,'03_통합데이터'!$I$3:$I$1002,$A82,'03_통합데이터'!$A$3:$A$1002,"해외제조")/60,1)</f>
        <v/>
      </c>
      <c r="E82" s="7">
        <f>ROUND(SUM(B82:D82),1)</f>
        <v/>
      </c>
      <c r="F82" s="7">
        <f>IF(B82&gt;0,1,0)+IF(C82&gt;0,1,0)+IF(D82&gt;0,1,0)</f>
        <v/>
      </c>
      <c r="G82" s="6">
        <f>IF(F82&gt;=3,"◎ 전팀 수행",IF(F82=2,"○ 2개팀",""))</f>
        <v/>
      </c>
    </row>
  </sheetData>
  <autoFilter ref="A6:K58"/>
  <mergeCells count="12">
    <mergeCell ref="A4:B4"/>
    <mergeCell ref="G4:H4"/>
    <mergeCell ref="E4:F4"/>
    <mergeCell ref="A70:K70"/>
    <mergeCell ref="I4:J4"/>
    <mergeCell ref="I3:J3"/>
    <mergeCell ref="A1:K1"/>
    <mergeCell ref="C3:D3"/>
    <mergeCell ref="A3:B3"/>
    <mergeCell ref="G3:H3"/>
    <mergeCell ref="E3:F3"/>
    <mergeCell ref="C4:D4"/>
  </mergeCells>
  <conditionalFormatting sqref="A7:K58">
    <cfRule type="expression" priority="2" dxfId="1">
      <formula>$H7&gt;=3</formula>
    </cfRule>
    <cfRule type="expression" priority="3" dxfId="0">
      <formula>$H7=2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548235"/>
    <outlinePr summaryBelow="1" summaryRight="1"/>
    <pageSetUpPr/>
  </sheetPr>
  <dimension ref="A1:L3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8" sqref="C8"/>
    </sheetView>
  </sheetViews>
  <sheetFormatPr baseColWidth="8" defaultColWidth="8.7109375" defaultRowHeight="15"/>
  <cols>
    <col width="6" customWidth="1" style="26" min="1" max="1"/>
    <col width="30" customWidth="1" style="26" min="2" max="2"/>
    <col width="20" customWidth="1" style="26" min="3" max="3"/>
    <col width="34" customWidth="1" style="26" min="4" max="4"/>
    <col width="26" customWidth="1" style="26" min="5" max="5"/>
    <col width="34" customWidth="1" style="26" min="6" max="6"/>
    <col width="18" customWidth="1" style="26" min="7" max="7"/>
    <col width="14" customWidth="1" style="26" min="8" max="8"/>
    <col width="12" customWidth="1" style="26" min="9" max="9"/>
    <col width="11" customWidth="1" style="26" min="10" max="10"/>
    <col width="10" customWidth="1" style="26" min="11" max="11"/>
    <col width="18" customWidth="1" style="26" min="12" max="12"/>
  </cols>
  <sheetData>
    <row r="1" ht="25.5" customHeight="1" s="26">
      <c r="A1" s="33" t="inlineStr">
        <is>
          <t>통합 기회 도출 시트 — 04 분석에서 '중복' 판정된 업무를 옮겨 적고 통합안을 설계</t>
        </is>
      </c>
    </row>
    <row r="2" ht="15" customHeight="1" s="26">
      <c r="A2" s="31" t="inlineStr">
        <is>
          <t>작성 순서 ▶ ① 04시트를 '통합우선순위점수' 기준 내림차순 정렬 → ② 상위 항목을 아래로 옮겨 적기 → ③ 각 팀 담당자에게 '어떻게 하는지' 확인 후 수행방식 차이 기재 → ④ 통합 유형/주관 결정</t>
        </is>
      </c>
    </row>
    <row r="3" ht="33.75" customHeight="1" s="26">
      <c r="A3" s="4" t="inlineStr">
        <is>
          <t>연번</t>
        </is>
      </c>
      <c r="B3" s="4" t="inlineStr">
        <is>
          <t>중복 업무 (중분류)</t>
        </is>
      </c>
      <c r="C3" s="4" t="inlineStr">
        <is>
          <t>관련 팀</t>
        </is>
      </c>
      <c r="D3" s="4" t="inlineStr">
        <is>
          <t>각 팀 현재 수행 방식 차이</t>
        </is>
      </c>
      <c r="E3" s="4" t="inlineStr">
        <is>
          <t>중복 발생 원인</t>
        </is>
      </c>
      <c r="F3" s="4" t="inlineStr">
        <is>
          <t>통합 방안</t>
        </is>
      </c>
      <c r="G3" s="4" t="inlineStr">
        <is>
          <t>통합 유형</t>
        </is>
      </c>
      <c r="H3" s="4" t="inlineStr">
        <is>
          <t>주관 조직(안)</t>
        </is>
      </c>
      <c r="I3" s="4" t="inlineStr">
        <is>
          <t>월 예상 절감시간(h)</t>
        </is>
      </c>
      <c r="J3" s="4" t="inlineStr">
        <is>
          <t>실행 난이도</t>
        </is>
      </c>
      <c r="K3" s="4" t="inlineStr">
        <is>
          <t>우선순위</t>
        </is>
      </c>
      <c r="L3" s="4" t="inlineStr">
        <is>
          <t>비고</t>
        </is>
      </c>
    </row>
    <row r="4" ht="43.5" customHeight="1" s="26">
      <c r="A4" s="19" t="n">
        <v>1</v>
      </c>
      <c r="B4" s="19" t="inlineStr">
        <is>
          <t>MKT-02 광고 성과 모니터링·최적화</t>
        </is>
      </c>
      <c r="C4" s="20" t="inlineStr">
        <is>
          <t>미디어/브랜드/해외제조</t>
        </is>
      </c>
      <c r="D4" s="19" t="inlineStr">
        <is>
          <t>3팀 모두 매일 오전 각자 광고관리자 접속 → 각자 양식의 구글시트에 수기 집계</t>
        </is>
      </c>
      <c r="E4" s="20" t="inlineStr">
        <is>
          <t>성과 데이터 소스는 동일하나 집계 양식과 보고 라인이 팀별로 분리되어 있음</t>
        </is>
      </c>
      <c r="F4" s="20" t="inlineStr">
        <is>
          <t>본부 공용 광고 대시보드 1개 구축, 자동 수집. 팀은 '해석·조치'만 수행</t>
        </is>
      </c>
      <c r="G4" s="20" t="inlineStr">
        <is>
          <t>툴 공용화 + 자동화</t>
        </is>
      </c>
      <c r="H4" s="20" t="inlineStr">
        <is>
          <t>미디어커머스</t>
        </is>
      </c>
      <c r="I4" s="19" t="n">
        <v>24</v>
      </c>
      <c r="J4" s="20" t="inlineStr">
        <is>
          <t>중</t>
        </is>
      </c>
      <c r="K4" s="19" t="inlineStr">
        <is>
          <t>1순위</t>
        </is>
      </c>
      <c r="L4" s="20" t="inlineStr">
        <is>
          <t>대행사 계정 권한 통합 필요</t>
        </is>
      </c>
    </row>
    <row r="5" ht="31.5" customHeight="1" s="26">
      <c r="A5" s="9" t="n">
        <v>2</v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 ht="31.5" customHeight="1" s="26">
      <c r="A6" s="9" t="n">
        <v>3</v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31.5" customHeight="1" s="26">
      <c r="A7" s="9" t="n">
        <v>4</v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31.5" customHeight="1" s="26">
      <c r="A8" s="9" t="n">
        <v>5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31.5" customHeight="1" s="26">
      <c r="A9" s="9" t="n">
        <v>6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31.5" customHeight="1" s="26">
      <c r="A10" s="9" t="n">
        <v>7</v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31.5" customHeight="1" s="26">
      <c r="A11" s="9" t="n">
        <v>8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31.5" customHeight="1" s="26">
      <c r="A12" s="9" t="n">
        <v>9</v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31.5" customHeight="1" s="26">
      <c r="A13" s="9" t="n">
        <v>10</v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31.5" customHeight="1" s="26">
      <c r="A14" s="9" t="n">
        <v>11</v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31.5" customHeight="1" s="26">
      <c r="A15" s="9" t="n">
        <v>12</v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 ht="31.5" customHeight="1" s="26">
      <c r="A16" s="9" t="n">
        <v>13</v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31.5" customHeight="1" s="26">
      <c r="A17" s="9" t="n">
        <v>14</v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 ht="31.5" customHeight="1" s="26">
      <c r="A18" s="9" t="n">
        <v>15</v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31.5" customHeight="1" s="26">
      <c r="A19" s="9" t="n">
        <v>16</v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 ht="31.5" customHeight="1" s="26">
      <c r="A20" s="9" t="n">
        <v>17</v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31.5" customHeight="1" s="26">
      <c r="A21" s="9" t="n">
        <v>18</v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 ht="31.5" customHeight="1" s="26">
      <c r="A22" s="9" t="n">
        <v>19</v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31.5" customHeight="1" s="26">
      <c r="A23" s="9" t="n">
        <v>20</v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 ht="31.5" customHeight="1" s="26">
      <c r="A24" s="9" t="n">
        <v>21</v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</row>
    <row r="25" ht="31.5" customHeight="1" s="26">
      <c r="A25" s="9" t="n">
        <v>22</v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31.5" customHeight="1" s="26">
      <c r="A26" s="9" t="n">
        <v>23</v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 ht="31.5" customHeight="1" s="26">
      <c r="A27" s="9" t="n">
        <v>24</v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 ht="31.5" customHeight="1" s="26">
      <c r="A28" s="9" t="n">
        <v>25</v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31.5" customHeight="1" s="26">
      <c r="A29" s="9" t="n">
        <v>26</v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</row>
    <row r="30" ht="31.5" customHeight="1" s="26">
      <c r="A30" s="9" t="n">
        <v>27</v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 ht="31.5" customHeight="1" s="26">
      <c r="A31" s="9" t="n">
        <v>28</v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31.5" customHeight="1" s="26">
      <c r="A32" s="9" t="n">
        <v>29</v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 ht="31.5" customHeight="1" s="26">
      <c r="A33" s="9" t="n">
        <v>30</v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 ht="31.5" customHeight="1" s="26">
      <c r="A34" s="9" t="n">
        <v>31</v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31.5" customHeight="1" s="26">
      <c r="A35" s="9" t="n">
        <v>32</v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 ht="31.5" customHeight="1" s="26">
      <c r="A36" s="9" t="n">
        <v>33</v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</row>
    <row r="37" ht="31.5" customHeight="1" s="26">
      <c r="A37" s="9" t="n">
        <v>34</v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31.5" customHeight="1" s="26">
      <c r="A38" s="9" t="n">
        <v>35</v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 ht="31.5" customHeight="1" s="26">
      <c r="A39" s="9" t="n">
        <v>36</v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</sheetData>
  <mergeCells count="2">
    <mergeCell ref="A2:L2"/>
    <mergeCell ref="A1:L1"/>
  </mergeCells>
  <dataValidations count="4">
    <dataValidation sqref="G5:G39" showDropDown="0" showInputMessage="0" showErrorMessage="0" allowBlank="1" type="list">
      <formula1>"단일 창구화,프로세스 통합,툴 공용화,자동화,업무 폐지,역할 재정의"</formula1>
      <formula2>0</formula2>
    </dataValidation>
    <dataValidation sqref="J5:J39" showDropDown="0" showInputMessage="0" showErrorMessage="0" allowBlank="1" type="list">
      <formula1>"상,중,하"</formula1>
      <formula2>0</formula2>
    </dataValidation>
    <dataValidation sqref="K5:K39" showDropDown="0" showInputMessage="0" showErrorMessage="0" allowBlank="1" type="list">
      <formula1>"1순위,2순위,3순위,보류"</formula1>
      <formula2>0</formula2>
    </dataValidation>
    <dataValidation sqref="H5:H39" showDropDown="0" showInputMessage="0" showErrorMessage="0" allowBlank="1" type="list">
      <formula1>"미디어커머스,브랜드커머스,해외제조,본부 공통,신설 조직"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드롭다운 선택 필요" error="목록에서 선택해 주세요. 자유 입력 시 중복분석에 집계되지 않습니다.">
          <x14:formula1>
            <xm:f>'06_분류코드'!$B$4:$B$64</xm:f>
          </x14:formula1>
          <x14:formula2>
            <xm:f>0</xm:f>
          </x14:formula2>
          <xm:sqref>B5:B39</xm:sqref>
        </x14:dataValidation>
      </x14:dataValidations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2026-08-07T03:09:48Z</dcterms:created>
  <dcterms:modified xsi:type="dcterms:W3CDTF">2026-08-18T02:31:44Z</dcterms:modified>
  <cp:lastModifiedBy>Administrator</cp:lastModifiedBy>
  <cp:revision>0</cp:revision>
</cp:coreProperties>
</file>